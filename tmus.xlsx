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showInkAnnotation="0" updateLinks="always" defaultThemeVersion="166925"/>
  <mc:AlternateContent xmlns:mc="http://schemas.openxmlformats.org/markup-compatibility/2006">
    <mc:Choice Requires="x15">
      <x15ac:absPath xmlns:x15ac="http://schemas.microsoft.com/office/spreadsheetml/2010/11/ac" url="/Users/karisp/Desktop/"/>
    </mc:Choice>
  </mc:AlternateContent>
  <xr:revisionPtr revIDLastSave="0" documentId="8_{B31EC1CD-0F87-F940-B37A-E0E5FED75F17}" xr6:coauthVersionLast="47" xr6:coauthVersionMax="47" xr10:uidLastSave="{00000000-0000-0000-0000-000000000000}"/>
  <bookViews>
    <workbookView xWindow="0" yWindow="660" windowWidth="29400" windowHeight="18460" activeTab="9" xr2:uid="{00000000-000D-0000-FFFF-FFFF00000000}"/>
  </bookViews>
  <sheets>
    <sheet name="Cover" sheetId="9" r:id="rId1"/>
    <sheet name="Income Statement" sheetId="1" r:id="rId2"/>
    <sheet name="Debt Schedule" sheetId="6" r:id="rId3"/>
    <sheet name="Balance Sheet" sheetId="2" r:id="rId4"/>
    <sheet name="Cashflow Statement" sheetId="3" r:id="rId5"/>
    <sheet name="Calcs" sheetId="5" r:id="rId6"/>
    <sheet name="Assumptions" sheetId="4" r:id="rId7"/>
    <sheet name="LTM" sheetId="7" r:id="rId8"/>
    <sheet name="Comps" sheetId="8" r:id="rId9"/>
    <sheet name="DCF" sheetId="11" r:id="rId10"/>
  </sheet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0" i="11" l="1"/>
  <c r="C32" i="11"/>
  <c r="H17" i="11"/>
  <c r="C30" i="11"/>
  <c r="C28" i="11"/>
  <c r="C27" i="11"/>
  <c r="G21" i="11"/>
  <c r="G20" i="11"/>
  <c r="H19" i="11"/>
  <c r="H18" i="11"/>
  <c r="H15" i="11"/>
  <c r="H21" i="11"/>
  <c r="D21" i="11"/>
  <c r="G22" i="11"/>
  <c r="K9" i="11"/>
  <c r="K6" i="11"/>
  <c r="K7" i="11"/>
  <c r="L3" i="11"/>
  <c r="L4" i="11"/>
  <c r="K5" i="11"/>
  <c r="K4" i="11"/>
  <c r="K3" i="11"/>
  <c r="D11" i="11"/>
  <c r="D13" i="11"/>
  <c r="G14" i="5"/>
  <c r="G108" i="2"/>
  <c r="C19" i="4"/>
  <c r="D634" i="6"/>
  <c r="D629" i="6"/>
  <c r="E81" i="3"/>
  <c r="F81" i="3"/>
  <c r="G81" i="3"/>
  <c r="H81" i="3"/>
  <c r="D81" i="3"/>
  <c r="D80" i="3"/>
  <c r="E80" i="3"/>
  <c r="F80" i="3"/>
  <c r="G80" i="3"/>
  <c r="H80" i="3"/>
  <c r="T20" i="1"/>
  <c r="D32" i="7"/>
  <c r="D33" i="7"/>
  <c r="D35" i="7"/>
  <c r="D36" i="7"/>
  <c r="D31" i="7"/>
  <c r="O28" i="8"/>
  <c r="O25" i="8"/>
  <c r="O19" i="8"/>
  <c r="S28" i="8"/>
  <c r="R12" i="8"/>
  <c r="O12" i="8"/>
  <c r="J36" i="7"/>
  <c r="J35" i="7"/>
  <c r="I34" i="7"/>
  <c r="H34" i="7"/>
  <c r="H37" i="7" s="1"/>
  <c r="G34" i="7"/>
  <c r="G37" i="7" s="1"/>
  <c r="J33" i="7"/>
  <c r="J32" i="7"/>
  <c r="R25" i="8" s="1"/>
  <c r="J31" i="7"/>
  <c r="R19" i="8" s="1"/>
  <c r="D33" i="1"/>
  <c r="D36" i="1" s="1"/>
  <c r="E33" i="1"/>
  <c r="E36" i="1" s="1"/>
  <c r="E52" i="1" s="1"/>
  <c r="F33" i="1"/>
  <c r="F36" i="1" s="1"/>
  <c r="G33" i="1"/>
  <c r="G36" i="1" s="1"/>
  <c r="G52" i="1" s="1"/>
  <c r="C33" i="1"/>
  <c r="C36" i="1" s="1"/>
  <c r="H47" i="1"/>
  <c r="H31" i="1" s="1"/>
  <c r="I47" i="1"/>
  <c r="J47" i="1"/>
  <c r="K47" i="1"/>
  <c r="L47" i="1"/>
  <c r="H48" i="1"/>
  <c r="H32" i="1" s="1"/>
  <c r="I48" i="1"/>
  <c r="J48" i="1"/>
  <c r="K48" i="1"/>
  <c r="L48" i="1"/>
  <c r="H50" i="1"/>
  <c r="H34" i="1" s="1"/>
  <c r="I50" i="1"/>
  <c r="J50" i="1"/>
  <c r="K50" i="1"/>
  <c r="L50" i="1"/>
  <c r="H51" i="1"/>
  <c r="H35" i="1" s="1"/>
  <c r="I51" i="1"/>
  <c r="J51" i="1"/>
  <c r="K51" i="1"/>
  <c r="L51" i="1"/>
  <c r="I46" i="1"/>
  <c r="J46" i="1"/>
  <c r="K46" i="1"/>
  <c r="L46" i="1"/>
  <c r="H46" i="1"/>
  <c r="H30" i="1" s="1"/>
  <c r="I37" i="7" l="1"/>
  <c r="J34" i="7"/>
  <c r="R22" i="8" s="1"/>
  <c r="F52" i="1"/>
  <c r="D52" i="1"/>
  <c r="J37" i="7"/>
  <c r="S31" i="8" s="1"/>
  <c r="I31" i="1"/>
  <c r="I34" i="1"/>
  <c r="I32" i="1"/>
  <c r="I35" i="1"/>
  <c r="J35" i="1" s="1"/>
  <c r="K35" i="1" s="1"/>
  <c r="L35" i="1" s="1"/>
  <c r="H33" i="1"/>
  <c r="I30" i="1"/>
  <c r="J32" i="1" l="1"/>
  <c r="K32" i="1" s="1"/>
  <c r="L32" i="1" s="1"/>
  <c r="J31" i="1"/>
  <c r="K31" i="1" s="1"/>
  <c r="L31" i="1" s="1"/>
  <c r="H49" i="1"/>
  <c r="L5" i="4" s="1"/>
  <c r="H36" i="1"/>
  <c r="H52" i="1" s="1"/>
  <c r="L6" i="4" s="1"/>
  <c r="J34" i="1"/>
  <c r="J30" i="1"/>
  <c r="I33" i="1"/>
  <c r="I36" i="1" s="1"/>
  <c r="I52" i="1" l="1"/>
  <c r="M6" i="4" s="1"/>
  <c r="I49" i="1"/>
  <c r="M5" i="4" s="1"/>
  <c r="K34" i="1"/>
  <c r="K30" i="1"/>
  <c r="J33" i="1"/>
  <c r="J49" i="1" s="1"/>
  <c r="N5" i="4" s="1"/>
  <c r="D47" i="1"/>
  <c r="E47" i="1"/>
  <c r="F47" i="1"/>
  <c r="G47" i="1"/>
  <c r="D48" i="1"/>
  <c r="E48" i="1"/>
  <c r="F48" i="1"/>
  <c r="G48" i="1"/>
  <c r="D50" i="1"/>
  <c r="E50" i="1"/>
  <c r="F50" i="1"/>
  <c r="G50" i="1"/>
  <c r="D51" i="1"/>
  <c r="E51" i="1"/>
  <c r="F51" i="1"/>
  <c r="G51" i="1"/>
  <c r="E46" i="1"/>
  <c r="F46" i="1"/>
  <c r="G46" i="1"/>
  <c r="D46" i="1"/>
  <c r="E6" i="11"/>
  <c r="F6" i="11"/>
  <c r="G6" i="11"/>
  <c r="H6" i="11"/>
  <c r="D6" i="11"/>
  <c r="J36" i="1" l="1"/>
  <c r="J52" i="1" s="1"/>
  <c r="N6" i="4" s="1"/>
  <c r="L34" i="1"/>
  <c r="L30" i="1"/>
  <c r="L33" i="1" s="1"/>
  <c r="K33" i="1"/>
  <c r="K49" i="1" s="1"/>
  <c r="O5" i="4" s="1"/>
  <c r="E49" i="1"/>
  <c r="G49" i="1"/>
  <c r="F49" i="1"/>
  <c r="D49" i="1"/>
  <c r="L36" i="1" l="1"/>
  <c r="L49" i="1"/>
  <c r="P5" i="4" s="1"/>
  <c r="K36" i="1"/>
  <c r="K52" i="1" s="1"/>
  <c r="O6" i="4" s="1"/>
  <c r="L52" i="1" l="1"/>
  <c r="P6" i="4" s="1"/>
  <c r="U17" i="1" l="1"/>
  <c r="V17" i="1"/>
  <c r="W17" i="1"/>
  <c r="X17" i="1"/>
  <c r="T17" i="1"/>
  <c r="O17" i="1"/>
  <c r="T22" i="1"/>
  <c r="E79" i="3"/>
  <c r="F79" i="3"/>
  <c r="G79" i="3"/>
  <c r="H79" i="3"/>
  <c r="D79" i="3"/>
  <c r="L28" i="8"/>
  <c r="M28" i="8" s="1"/>
  <c r="I28" i="8"/>
  <c r="J28" i="8" s="1"/>
  <c r="L37" i="2"/>
  <c r="L38" i="2"/>
  <c r="L39" i="2"/>
  <c r="L40" i="2"/>
  <c r="L41" i="2"/>
  <c r="L42" i="2"/>
  <c r="L43" i="2"/>
  <c r="L44" i="2"/>
  <c r="L45" i="2"/>
  <c r="L46" i="2"/>
  <c r="L47" i="2"/>
  <c r="L48" i="2"/>
  <c r="L49" i="2"/>
  <c r="L50" i="2"/>
  <c r="L51" i="2"/>
  <c r="L52" i="2"/>
  <c r="L53" i="2"/>
  <c r="L54" i="2"/>
  <c r="L55" i="2"/>
  <c r="L56" i="2"/>
  <c r="L57" i="2"/>
  <c r="I37" i="2"/>
  <c r="J37" i="2"/>
  <c r="F17" i="3" s="1"/>
  <c r="K37" i="2"/>
  <c r="G17" i="3" s="1"/>
  <c r="I38" i="2"/>
  <c r="J38" i="2"/>
  <c r="F18" i="3" s="1"/>
  <c r="K38" i="2"/>
  <c r="G18" i="3" s="1"/>
  <c r="J39" i="2"/>
  <c r="K39" i="2"/>
  <c r="G19" i="3" s="1"/>
  <c r="K40" i="2"/>
  <c r="K41" i="2"/>
  <c r="K42" i="2"/>
  <c r="K43" i="2"/>
  <c r="K44" i="2"/>
  <c r="K45" i="2"/>
  <c r="K46" i="2"/>
  <c r="I36" i="2"/>
  <c r="J36" i="2"/>
  <c r="F16" i="3" s="1"/>
  <c r="K36" i="2"/>
  <c r="G16" i="3" s="1"/>
  <c r="L36" i="2"/>
  <c r="H16" i="3" s="1"/>
  <c r="H38" i="2"/>
  <c r="D18" i="3" s="1"/>
  <c r="H37" i="2"/>
  <c r="D17" i="3" s="1"/>
  <c r="H36" i="2"/>
  <c r="D16" i="3" s="1"/>
  <c r="P28" i="8"/>
  <c r="R28" i="8"/>
  <c r="Q24" i="7"/>
  <c r="R11" i="8" s="1"/>
  <c r="Q25" i="7"/>
  <c r="O9" i="8"/>
  <c r="C9" i="8"/>
  <c r="L12" i="8"/>
  <c r="I12" i="8"/>
  <c r="L24" i="7"/>
  <c r="L23" i="7"/>
  <c r="L21" i="7"/>
  <c r="L20" i="7"/>
  <c r="L25" i="8" s="1"/>
  <c r="L19" i="7"/>
  <c r="L19" i="8" s="1"/>
  <c r="H24" i="7"/>
  <c r="H23" i="7"/>
  <c r="H20" i="7"/>
  <c r="I25" i="8" s="1"/>
  <c r="H21" i="7"/>
  <c r="H19" i="7"/>
  <c r="I19" i="8" s="1"/>
  <c r="F12" i="8"/>
  <c r="R9" i="8"/>
  <c r="L9" i="8"/>
  <c r="I9" i="8"/>
  <c r="F9" i="8"/>
  <c r="N31" i="7"/>
  <c r="F28" i="8" s="1"/>
  <c r="G28" i="8" s="1"/>
  <c r="N30" i="7"/>
  <c r="C28" i="8" s="1"/>
  <c r="D28" i="8" s="1"/>
  <c r="R19" i="7"/>
  <c r="C12" i="8" s="1"/>
  <c r="O19" i="7"/>
  <c r="D20" i="7"/>
  <c r="F25" i="8" s="1"/>
  <c r="D21" i="7"/>
  <c r="D23" i="7"/>
  <c r="D24" i="7"/>
  <c r="D19" i="7"/>
  <c r="F19" i="8" s="1"/>
  <c r="C11" i="7"/>
  <c r="D11" i="7" s="1"/>
  <c r="C8" i="7"/>
  <c r="D8" i="7" s="1"/>
  <c r="C34" i="7"/>
  <c r="K22" i="7"/>
  <c r="K25" i="7" s="1"/>
  <c r="L25" i="7" s="1"/>
  <c r="L31" i="8" s="1"/>
  <c r="G22" i="7"/>
  <c r="G25" i="7" s="1"/>
  <c r="H25" i="7" s="1"/>
  <c r="I31" i="8" s="1"/>
  <c r="C22" i="7"/>
  <c r="C25" i="7" s="1"/>
  <c r="D25" i="7" s="1"/>
  <c r="F31" i="8" s="1"/>
  <c r="Q23" i="7"/>
  <c r="O11" i="8" s="1"/>
  <c r="Q22" i="7"/>
  <c r="L11" i="8" s="1"/>
  <c r="Q21" i="7"/>
  <c r="I11" i="8" s="1"/>
  <c r="Q20" i="7"/>
  <c r="F11" i="8" s="1"/>
  <c r="E83" i="3"/>
  <c r="F83" i="3"/>
  <c r="G83" i="3"/>
  <c r="H83" i="3"/>
  <c r="D83" i="3"/>
  <c r="M43" i="4"/>
  <c r="N43" i="4"/>
  <c r="O43" i="4"/>
  <c r="P43" i="4"/>
  <c r="G47" i="4"/>
  <c r="P47" i="4" s="1"/>
  <c r="G46" i="4"/>
  <c r="M46" i="4" s="1"/>
  <c r="G45" i="4"/>
  <c r="M45" i="4" s="1"/>
  <c r="G44" i="4"/>
  <c r="L44" i="4" s="1"/>
  <c r="G43" i="4"/>
  <c r="L43" i="4" s="1"/>
  <c r="G16" i="5"/>
  <c r="E16" i="3" l="1"/>
  <c r="E17" i="3"/>
  <c r="E18" i="3"/>
  <c r="H17" i="3"/>
  <c r="H25" i="3"/>
  <c r="H18" i="3"/>
  <c r="H19" i="3"/>
  <c r="H20" i="3"/>
  <c r="H21" i="3"/>
  <c r="H22" i="3"/>
  <c r="H23" i="3"/>
  <c r="H24" i="3"/>
  <c r="H26" i="3"/>
  <c r="I13" i="8"/>
  <c r="I15" i="8" s="1"/>
  <c r="U28" i="8"/>
  <c r="V28" i="8"/>
  <c r="T28" i="8"/>
  <c r="C37" i="7"/>
  <c r="D37" i="7" s="1"/>
  <c r="R31" i="8" s="1"/>
  <c r="D34" i="7"/>
  <c r="O22" i="8" s="1"/>
  <c r="D22" i="7"/>
  <c r="F22" i="8" s="1"/>
  <c r="R13" i="8"/>
  <c r="R15" i="8" s="1"/>
  <c r="F13" i="8"/>
  <c r="F15" i="8" s="1"/>
  <c r="G31" i="8" s="1"/>
  <c r="H22" i="7"/>
  <c r="I22" i="8" s="1"/>
  <c r="L13" i="8"/>
  <c r="L15" i="8" s="1"/>
  <c r="L22" i="7"/>
  <c r="L22" i="8" s="1"/>
  <c r="O13" i="8"/>
  <c r="O15" i="8" s="1"/>
  <c r="Q19" i="7"/>
  <c r="M44" i="4"/>
  <c r="O44" i="4"/>
  <c r="N44" i="4"/>
  <c r="O47" i="4"/>
  <c r="M47" i="4"/>
  <c r="N47" i="4"/>
  <c r="O45" i="4"/>
  <c r="P44" i="4"/>
  <c r="L45" i="4"/>
  <c r="P45" i="4"/>
  <c r="N45" i="4"/>
  <c r="L46" i="4"/>
  <c r="P46" i="4"/>
  <c r="O46" i="4"/>
  <c r="N46" i="4"/>
  <c r="L47" i="4"/>
  <c r="O31" i="8" l="1"/>
  <c r="P31" i="8" s="1"/>
  <c r="J22" i="8"/>
  <c r="G19" i="8"/>
  <c r="G25" i="8"/>
  <c r="G22" i="8"/>
  <c r="S19" i="8"/>
  <c r="S22" i="8"/>
  <c r="S25" i="8"/>
  <c r="C11" i="8"/>
  <c r="C13" i="8" s="1"/>
  <c r="C15" i="8" s="1"/>
  <c r="J25" i="8"/>
  <c r="J31" i="8"/>
  <c r="J19" i="8"/>
  <c r="M25" i="8"/>
  <c r="M22" i="8"/>
  <c r="M31" i="8"/>
  <c r="M19" i="8"/>
  <c r="P25" i="8"/>
  <c r="P22" i="8"/>
  <c r="P19" i="8"/>
  <c r="C638" i="6" l="1"/>
  <c r="C95" i="3" s="1"/>
  <c r="E635" i="6"/>
  <c r="F635" i="6"/>
  <c r="G635" i="6"/>
  <c r="H635" i="6"/>
  <c r="E629" i="6"/>
  <c r="F629" i="6"/>
  <c r="G629" i="6"/>
  <c r="H629" i="6"/>
  <c r="C11" i="3"/>
  <c r="T19" i="1"/>
  <c r="U19" i="1"/>
  <c r="V19" i="1"/>
  <c r="W19" i="1"/>
  <c r="X19" i="1"/>
  <c r="U20" i="1"/>
  <c r="V20" i="1"/>
  <c r="W20" i="1"/>
  <c r="X20" i="1"/>
  <c r="T21" i="1"/>
  <c r="U21" i="1"/>
  <c r="V21" i="1"/>
  <c r="W21" i="1"/>
  <c r="X21" i="1"/>
  <c r="U22" i="1"/>
  <c r="V22" i="1"/>
  <c r="W22" i="1"/>
  <c r="X22" i="1"/>
  <c r="T23" i="1"/>
  <c r="U23" i="1"/>
  <c r="V23" i="1"/>
  <c r="W23" i="1"/>
  <c r="X23" i="1"/>
  <c r="T24" i="1"/>
  <c r="U24" i="1"/>
  <c r="V24" i="1"/>
  <c r="W24" i="1"/>
  <c r="X24" i="1"/>
  <c r="U18" i="1"/>
  <c r="V18" i="1"/>
  <c r="W18" i="1"/>
  <c r="X18" i="1"/>
  <c r="T18" i="1"/>
  <c r="O18" i="1"/>
  <c r="D17" i="4"/>
  <c r="E17" i="4"/>
  <c r="F17" i="4"/>
  <c r="G17" i="4"/>
  <c r="C30" i="4"/>
  <c r="D30" i="4"/>
  <c r="E30" i="4"/>
  <c r="F30" i="4"/>
  <c r="G30" i="4"/>
  <c r="D24" i="6"/>
  <c r="D25" i="6" s="1"/>
  <c r="C24" i="6"/>
  <c r="C25" i="6" s="1"/>
  <c r="C93" i="3"/>
  <c r="D91" i="3" s="1"/>
  <c r="C10" i="6"/>
  <c r="C17" i="6"/>
  <c r="C84" i="3"/>
  <c r="D621" i="6"/>
  <c r="D619" i="6"/>
  <c r="D611" i="6"/>
  <c r="D609" i="6"/>
  <c r="D601" i="6"/>
  <c r="D599" i="6"/>
  <c r="D602" i="6" s="1"/>
  <c r="D591" i="6"/>
  <c r="D589" i="6"/>
  <c r="D592" i="6" s="1"/>
  <c r="D579" i="6"/>
  <c r="D581" i="6"/>
  <c r="D571" i="6"/>
  <c r="D569" i="6"/>
  <c r="H572" i="6" s="1"/>
  <c r="L93" i="2" s="1"/>
  <c r="D561" i="6"/>
  <c r="D559" i="6"/>
  <c r="D551" i="6"/>
  <c r="D549" i="6"/>
  <c r="D541" i="6"/>
  <c r="D539" i="6"/>
  <c r="D531" i="6"/>
  <c r="D529" i="6"/>
  <c r="H532" i="6" s="1"/>
  <c r="L89" i="2" s="1"/>
  <c r="D521" i="6"/>
  <c r="D519" i="6"/>
  <c r="D522" i="6" s="1"/>
  <c r="D509" i="6"/>
  <c r="H512" i="6" s="1"/>
  <c r="L87" i="2" s="1"/>
  <c r="D511" i="6"/>
  <c r="D512" i="6" s="1"/>
  <c r="H87" i="2" s="1"/>
  <c r="D67" i="3" s="1"/>
  <c r="D501" i="6"/>
  <c r="D499" i="6"/>
  <c r="D491" i="6"/>
  <c r="D489" i="6"/>
  <c r="H492" i="6" s="1"/>
  <c r="L85" i="2" s="1"/>
  <c r="D481" i="6"/>
  <c r="D479" i="6"/>
  <c r="D471" i="6"/>
  <c r="D469" i="6"/>
  <c r="D472" i="6" s="1"/>
  <c r="D461" i="6"/>
  <c r="D459" i="6"/>
  <c r="D462" i="6" s="1"/>
  <c r="D451" i="6"/>
  <c r="D449" i="6"/>
  <c r="D441" i="6"/>
  <c r="D439" i="6"/>
  <c r="D442" i="6" s="1"/>
  <c r="D431" i="6"/>
  <c r="D429" i="6"/>
  <c r="D432" i="6" s="1"/>
  <c r="D421" i="6"/>
  <c r="D419" i="6"/>
  <c r="H422" i="6" s="1"/>
  <c r="L78" i="2" s="1"/>
  <c r="D411" i="6"/>
  <c r="D409" i="6"/>
  <c r="D401" i="6"/>
  <c r="D399" i="6"/>
  <c r="H402" i="6" s="1"/>
  <c r="L76" i="2" s="1"/>
  <c r="D391" i="6"/>
  <c r="D389" i="6"/>
  <c r="D392" i="6" s="1"/>
  <c r="D381" i="6"/>
  <c r="D379" i="6"/>
  <c r="D382" i="6" s="1"/>
  <c r="D371" i="6"/>
  <c r="D369" i="6"/>
  <c r="H372" i="6" s="1"/>
  <c r="L73" i="2" s="1"/>
  <c r="D361" i="6"/>
  <c r="D359" i="6"/>
  <c r="H362" i="6" s="1"/>
  <c r="L72" i="2" s="1"/>
  <c r="D116" i="2"/>
  <c r="E116" i="2"/>
  <c r="F116" i="2"/>
  <c r="G116" i="2"/>
  <c r="C116" i="2"/>
  <c r="D351" i="6"/>
  <c r="D349" i="6"/>
  <c r="D352" i="6" s="1"/>
  <c r="D341" i="6"/>
  <c r="D339" i="6"/>
  <c r="D342" i="6" s="1"/>
  <c r="D331" i="6"/>
  <c r="D329" i="6"/>
  <c r="D332" i="6" s="1"/>
  <c r="D321" i="6"/>
  <c r="D319" i="6"/>
  <c r="D311" i="6"/>
  <c r="D309" i="6"/>
  <c r="D301" i="6"/>
  <c r="D299" i="6"/>
  <c r="D302" i="6" s="1"/>
  <c r="D291" i="6"/>
  <c r="D289" i="6"/>
  <c r="D292" i="6" s="1"/>
  <c r="D281" i="6"/>
  <c r="D279" i="6"/>
  <c r="D282" i="6" s="1"/>
  <c r="D271" i="6"/>
  <c r="D269" i="6"/>
  <c r="D272" i="6" s="1"/>
  <c r="D261" i="6"/>
  <c r="D259" i="6"/>
  <c r="D251" i="6"/>
  <c r="D249" i="6"/>
  <c r="H252" i="6" s="1"/>
  <c r="L61" i="2" s="1"/>
  <c r="D241" i="6"/>
  <c r="D239" i="6"/>
  <c r="D231" i="6"/>
  <c r="D229" i="6"/>
  <c r="D221" i="6"/>
  <c r="D219" i="6"/>
  <c r="H222" i="6" s="1"/>
  <c r="L58" i="2" s="1"/>
  <c r="D211" i="6"/>
  <c r="D209" i="6"/>
  <c r="D212" i="6" s="1"/>
  <c r="D201" i="6"/>
  <c r="D199" i="6"/>
  <c r="D202" i="6" s="1"/>
  <c r="H56" i="2" s="1"/>
  <c r="D36" i="3" s="1"/>
  <c r="D191" i="6"/>
  <c r="D189" i="6"/>
  <c r="D181" i="6"/>
  <c r="D179" i="6"/>
  <c r="D182" i="6" s="1"/>
  <c r="H54" i="2" s="1"/>
  <c r="D34" i="3" s="1"/>
  <c r="D171" i="6"/>
  <c r="D169" i="6"/>
  <c r="D161" i="6"/>
  <c r="D159" i="6"/>
  <c r="D151" i="6"/>
  <c r="D149" i="6"/>
  <c r="D152" i="6" s="1"/>
  <c r="H51" i="2" s="1"/>
  <c r="D31" i="3" s="1"/>
  <c r="D141" i="6"/>
  <c r="D139" i="6"/>
  <c r="D142" i="6" s="1"/>
  <c r="H50" i="2" s="1"/>
  <c r="D30" i="3" s="1"/>
  <c r="D131" i="6"/>
  <c r="D129" i="6"/>
  <c r="D132" i="6" s="1"/>
  <c r="H49" i="2" s="1"/>
  <c r="D29" i="3" s="1"/>
  <c r="H43" i="5"/>
  <c r="I43" i="5"/>
  <c r="J43" i="5"/>
  <c r="K43" i="5"/>
  <c r="L43" i="5"/>
  <c r="H44" i="5"/>
  <c r="I44" i="5"/>
  <c r="J44" i="5"/>
  <c r="K44" i="5"/>
  <c r="L44" i="5"/>
  <c r="D121" i="6"/>
  <c r="D119" i="6"/>
  <c r="D111" i="6"/>
  <c r="D109" i="6"/>
  <c r="D112" i="6" s="1"/>
  <c r="G107" i="6"/>
  <c r="D101" i="6"/>
  <c r="D99" i="6"/>
  <c r="G97" i="6"/>
  <c r="D91" i="6"/>
  <c r="D89" i="6"/>
  <c r="D92" i="6" s="1"/>
  <c r="H45" i="2" s="1"/>
  <c r="D25" i="3" s="1"/>
  <c r="G87" i="6"/>
  <c r="D81" i="6"/>
  <c r="D79" i="6"/>
  <c r="D82" i="6" s="1"/>
  <c r="H44" i="2" s="1"/>
  <c r="D24" i="3" s="1"/>
  <c r="G77" i="6"/>
  <c r="D71" i="6"/>
  <c r="D69" i="6"/>
  <c r="D72" i="6" s="1"/>
  <c r="H43" i="2" s="1"/>
  <c r="D23" i="3" s="1"/>
  <c r="G67" i="6"/>
  <c r="D61" i="6"/>
  <c r="D59" i="6"/>
  <c r="D49" i="6"/>
  <c r="D51" i="6"/>
  <c r="G57" i="6"/>
  <c r="D31" i="6"/>
  <c r="D29" i="6"/>
  <c r="G47" i="6"/>
  <c r="D39" i="6"/>
  <c r="D41" i="6"/>
  <c r="D25" i="4"/>
  <c r="E25" i="4"/>
  <c r="F25" i="4"/>
  <c r="G25" i="4"/>
  <c r="M25" i="4" s="1"/>
  <c r="C25" i="4"/>
  <c r="C8" i="1"/>
  <c r="C11" i="1" s="1"/>
  <c r="C37" i="4" s="1"/>
  <c r="C19" i="1"/>
  <c r="C17" i="4" s="1"/>
  <c r="D24" i="4"/>
  <c r="E24" i="4"/>
  <c r="F24" i="4"/>
  <c r="G24" i="4"/>
  <c r="L24" i="4" s="1"/>
  <c r="C24" i="4"/>
  <c r="C51" i="5"/>
  <c r="D51" i="5"/>
  <c r="E51" i="5"/>
  <c r="F51" i="5"/>
  <c r="G51" i="5"/>
  <c r="C52" i="5"/>
  <c r="D52" i="5"/>
  <c r="E52" i="5"/>
  <c r="F52" i="5"/>
  <c r="G52" i="5"/>
  <c r="C53" i="5"/>
  <c r="D53" i="5"/>
  <c r="E53" i="5"/>
  <c r="F53" i="5"/>
  <c r="G53" i="5"/>
  <c r="C54" i="5"/>
  <c r="D54" i="5"/>
  <c r="E54" i="5"/>
  <c r="F54" i="5"/>
  <c r="G54" i="5"/>
  <c r="D50" i="5"/>
  <c r="E50" i="5"/>
  <c r="F50" i="5"/>
  <c r="G50" i="5"/>
  <c r="C50" i="5"/>
  <c r="C41" i="5"/>
  <c r="D41" i="5"/>
  <c r="E41" i="5"/>
  <c r="F41" i="5"/>
  <c r="G41" i="5"/>
  <c r="C42" i="5"/>
  <c r="D42" i="5"/>
  <c r="E42" i="5"/>
  <c r="F42" i="5"/>
  <c r="G42" i="5"/>
  <c r="C43" i="5"/>
  <c r="D43" i="5"/>
  <c r="E43" i="5"/>
  <c r="F43" i="5"/>
  <c r="G43" i="5"/>
  <c r="C44" i="5"/>
  <c r="D44" i="5"/>
  <c r="E44" i="5"/>
  <c r="F44" i="5"/>
  <c r="G44" i="5"/>
  <c r="C45" i="5"/>
  <c r="D45" i="5"/>
  <c r="E45" i="5"/>
  <c r="F45" i="5"/>
  <c r="G45" i="5"/>
  <c r="C46" i="5"/>
  <c r="D46" i="5"/>
  <c r="E46" i="5"/>
  <c r="F46" i="5"/>
  <c r="G46" i="5"/>
  <c r="C47" i="5"/>
  <c r="D47" i="5"/>
  <c r="E47" i="5"/>
  <c r="F47" i="5"/>
  <c r="G47" i="5"/>
  <c r="C30" i="5"/>
  <c r="D30" i="5"/>
  <c r="E30" i="5"/>
  <c r="F30" i="5"/>
  <c r="G30" i="5"/>
  <c r="C31" i="5"/>
  <c r="D31" i="5"/>
  <c r="E31" i="5"/>
  <c r="F31" i="5"/>
  <c r="G31" i="5"/>
  <c r="C32" i="5"/>
  <c r="D32" i="5"/>
  <c r="E32" i="5"/>
  <c r="F32" i="5"/>
  <c r="G32" i="5"/>
  <c r="C33" i="5"/>
  <c r="D33" i="5"/>
  <c r="E33" i="5"/>
  <c r="F33" i="5"/>
  <c r="G33" i="5"/>
  <c r="D29" i="5"/>
  <c r="E29" i="5"/>
  <c r="F29" i="5"/>
  <c r="G29" i="5"/>
  <c r="C29" i="5"/>
  <c r="D21" i="5"/>
  <c r="E21" i="5"/>
  <c r="F21" i="5"/>
  <c r="G21" i="5"/>
  <c r="D22" i="5"/>
  <c r="E22" i="5"/>
  <c r="F22" i="5"/>
  <c r="G22" i="5"/>
  <c r="D23" i="5"/>
  <c r="E23" i="5"/>
  <c r="F23" i="5"/>
  <c r="G23" i="5"/>
  <c r="D24" i="5"/>
  <c r="E24" i="5"/>
  <c r="F24" i="5"/>
  <c r="G24" i="5"/>
  <c r="D25" i="5"/>
  <c r="E25" i="5"/>
  <c r="F25" i="5"/>
  <c r="G25" i="5"/>
  <c r="C21" i="5"/>
  <c r="C22" i="5"/>
  <c r="C23" i="5"/>
  <c r="C24" i="5"/>
  <c r="C25" i="5"/>
  <c r="D16" i="5"/>
  <c r="E16" i="5"/>
  <c r="F16" i="5"/>
  <c r="C6" i="3"/>
  <c r="C16" i="5"/>
  <c r="D17" i="5"/>
  <c r="E14" i="5" s="1"/>
  <c r="E17" i="5"/>
  <c r="F14" i="5" s="1"/>
  <c r="F17" i="5"/>
  <c r="G17" i="5"/>
  <c r="H14" i="5" s="1"/>
  <c r="C17" i="5"/>
  <c r="D14" i="5" s="1"/>
  <c r="D11" i="5"/>
  <c r="E11" i="5"/>
  <c r="F11" i="5"/>
  <c r="G11" i="5"/>
  <c r="C11" i="5"/>
  <c r="C10" i="5"/>
  <c r="D6" i="5" s="1"/>
  <c r="D12" i="2"/>
  <c r="E12" i="2"/>
  <c r="F12" i="2"/>
  <c r="G12" i="2"/>
  <c r="C12" i="2"/>
  <c r="D19" i="1"/>
  <c r="E19" i="1"/>
  <c r="F19" i="1"/>
  <c r="G19" i="1"/>
  <c r="D8" i="1"/>
  <c r="E8" i="1"/>
  <c r="F8" i="1"/>
  <c r="G8" i="1"/>
  <c r="D108" i="2"/>
  <c r="E108" i="2"/>
  <c r="F108" i="2"/>
  <c r="C108" i="2"/>
  <c r="D612" i="6" l="1"/>
  <c r="I17" i="4"/>
  <c r="C117" i="2"/>
  <c r="D262" i="6"/>
  <c r="E259" i="6" s="1"/>
  <c r="C11" i="6"/>
  <c r="D10" i="6"/>
  <c r="C18" i="6"/>
  <c r="D17" i="6"/>
  <c r="D18" i="6" s="1"/>
  <c r="D616" i="6"/>
  <c r="D617" i="6" s="1"/>
  <c r="H97" i="2"/>
  <c r="D77" i="3" s="1"/>
  <c r="D606" i="6"/>
  <c r="D607" i="6" s="1"/>
  <c r="H96" i="2"/>
  <c r="D76" i="3" s="1"/>
  <c r="D596" i="6"/>
  <c r="D597" i="6" s="1"/>
  <c r="H95" i="2"/>
  <c r="D75" i="3" s="1"/>
  <c r="D526" i="6"/>
  <c r="D527" i="6" s="1"/>
  <c r="H88" i="2"/>
  <c r="D68" i="3" s="1"/>
  <c r="D476" i="6"/>
  <c r="D477" i="6" s="1"/>
  <c r="H83" i="2"/>
  <c r="D63" i="3" s="1"/>
  <c r="D466" i="6"/>
  <c r="D467" i="6" s="1"/>
  <c r="H82" i="2"/>
  <c r="D62" i="3" s="1"/>
  <c r="D446" i="6"/>
  <c r="D447" i="6" s="1"/>
  <c r="H80" i="2"/>
  <c r="D60" i="3" s="1"/>
  <c r="D436" i="6"/>
  <c r="D437" i="6" s="1"/>
  <c r="H79" i="2"/>
  <c r="D59" i="3" s="1"/>
  <c r="D396" i="6"/>
  <c r="D397" i="6" s="1"/>
  <c r="H75" i="2"/>
  <c r="D55" i="3" s="1"/>
  <c r="D386" i="6"/>
  <c r="D387" i="6" s="1"/>
  <c r="H74" i="2"/>
  <c r="D54" i="3" s="1"/>
  <c r="D356" i="6"/>
  <c r="D357" i="6" s="1"/>
  <c r="H71" i="2"/>
  <c r="D51" i="3" s="1"/>
  <c r="D346" i="6"/>
  <c r="D347" i="6" s="1"/>
  <c r="H70" i="2"/>
  <c r="D50" i="3" s="1"/>
  <c r="D336" i="6"/>
  <c r="D337" i="6" s="1"/>
  <c r="H69" i="2"/>
  <c r="D49" i="3" s="1"/>
  <c r="D306" i="6"/>
  <c r="D307" i="6" s="1"/>
  <c r="H66" i="2"/>
  <c r="D46" i="3" s="1"/>
  <c r="D296" i="6"/>
  <c r="D297" i="6" s="1"/>
  <c r="H65" i="2"/>
  <c r="D45" i="3" s="1"/>
  <c r="D286" i="6"/>
  <c r="D287" i="6" s="1"/>
  <c r="H64" i="2"/>
  <c r="D44" i="3" s="1"/>
  <c r="D276" i="6"/>
  <c r="D277" i="6" s="1"/>
  <c r="H63" i="2"/>
  <c r="D43" i="3" s="1"/>
  <c r="D216" i="6"/>
  <c r="D217" i="6" s="1"/>
  <c r="H57" i="2"/>
  <c r="D37" i="3" s="1"/>
  <c r="E109" i="6"/>
  <c r="H47" i="2"/>
  <c r="D27" i="3" s="1"/>
  <c r="H8" i="1"/>
  <c r="I8" i="1" s="1"/>
  <c r="J8" i="1" s="1"/>
  <c r="K8" i="1" s="1"/>
  <c r="L8" i="1" s="1"/>
  <c r="G38" i="4"/>
  <c r="G5" i="4"/>
  <c r="S17" i="1" s="1"/>
  <c r="C16" i="4"/>
  <c r="C49" i="4"/>
  <c r="E38" i="4"/>
  <c r="E5" i="4"/>
  <c r="H8" i="2"/>
  <c r="H22" i="5" s="1"/>
  <c r="D38" i="4"/>
  <c r="D5" i="4"/>
  <c r="F38" i="4"/>
  <c r="F5" i="4"/>
  <c r="R17" i="1" s="1"/>
  <c r="C118" i="2"/>
  <c r="F117" i="2"/>
  <c r="F118" i="2" s="1"/>
  <c r="G117" i="2"/>
  <c r="G118" i="2" s="1"/>
  <c r="E117" i="2"/>
  <c r="E118" i="2" s="1"/>
  <c r="D117" i="2"/>
  <c r="D118" i="2" s="1"/>
  <c r="C10" i="4"/>
  <c r="D312" i="6"/>
  <c r="E309" i="6" s="1"/>
  <c r="D622" i="6"/>
  <c r="D502" i="6"/>
  <c r="E499" i="6" s="1"/>
  <c r="D52" i="6"/>
  <c r="D452" i="6"/>
  <c r="D412" i="6"/>
  <c r="D552" i="6"/>
  <c r="D562" i="6"/>
  <c r="D242" i="6"/>
  <c r="D32" i="6"/>
  <c r="D582" i="6"/>
  <c r="D42" i="6"/>
  <c r="D162" i="6"/>
  <c r="D102" i="6"/>
  <c r="H502" i="6"/>
  <c r="L86" i="2" s="1"/>
  <c r="H292" i="6"/>
  <c r="L65" i="2" s="1"/>
  <c r="D62" i="6"/>
  <c r="D172" i="6"/>
  <c r="D232" i="6"/>
  <c r="D402" i="6"/>
  <c r="D492" i="6"/>
  <c r="H392" i="6"/>
  <c r="L75" i="2" s="1"/>
  <c r="H282" i="6"/>
  <c r="L64" i="2" s="1"/>
  <c r="H582" i="6"/>
  <c r="L94" i="2" s="1"/>
  <c r="D122" i="6"/>
  <c r="D192" i="6"/>
  <c r="D252" i="6"/>
  <c r="D322" i="6"/>
  <c r="D482" i="6"/>
  <c r="D542" i="6"/>
  <c r="E539" i="6" s="1"/>
  <c r="H622" i="6"/>
  <c r="L98" i="2" s="1"/>
  <c r="E619" i="6"/>
  <c r="H612" i="6"/>
  <c r="L97" i="2" s="1"/>
  <c r="E609" i="6"/>
  <c r="H602" i="6"/>
  <c r="L96" i="2" s="1"/>
  <c r="E599" i="6"/>
  <c r="H592" i="6"/>
  <c r="L95" i="2" s="1"/>
  <c r="E589" i="6"/>
  <c r="D572" i="6"/>
  <c r="H93" i="2" s="1"/>
  <c r="D73" i="3" s="1"/>
  <c r="H562" i="6"/>
  <c r="L92" i="2" s="1"/>
  <c r="H552" i="6"/>
  <c r="L91" i="2" s="1"/>
  <c r="H542" i="6"/>
  <c r="L90" i="2" s="1"/>
  <c r="D532" i="6"/>
  <c r="H522" i="6"/>
  <c r="L88" i="2" s="1"/>
  <c r="E519" i="6"/>
  <c r="E509" i="6"/>
  <c r="D516" i="6"/>
  <c r="D517" i="6" s="1"/>
  <c r="H482" i="6"/>
  <c r="L84" i="2" s="1"/>
  <c r="H472" i="6"/>
  <c r="L83" i="2" s="1"/>
  <c r="E469" i="6"/>
  <c r="H462" i="6"/>
  <c r="L82" i="2" s="1"/>
  <c r="E459" i="6"/>
  <c r="H452" i="6"/>
  <c r="L81" i="2" s="1"/>
  <c r="H442" i="6"/>
  <c r="L80" i="2" s="1"/>
  <c r="E439" i="6"/>
  <c r="H432" i="6"/>
  <c r="L79" i="2" s="1"/>
  <c r="E429" i="6"/>
  <c r="D422" i="6"/>
  <c r="H412" i="6"/>
  <c r="L77" i="2" s="1"/>
  <c r="E389" i="6"/>
  <c r="H382" i="6"/>
  <c r="L74" i="2" s="1"/>
  <c r="E379" i="6"/>
  <c r="D372" i="6"/>
  <c r="D362" i="6"/>
  <c r="H352" i="6"/>
  <c r="L71" i="2" s="1"/>
  <c r="E349" i="6"/>
  <c r="H342" i="6"/>
  <c r="L70" i="2" s="1"/>
  <c r="E339" i="6"/>
  <c r="H332" i="6"/>
  <c r="L69" i="2" s="1"/>
  <c r="E329" i="6"/>
  <c r="H322" i="6"/>
  <c r="L68" i="2" s="1"/>
  <c r="H312" i="6"/>
  <c r="L67" i="2" s="1"/>
  <c r="H302" i="6"/>
  <c r="L66" i="2" s="1"/>
  <c r="E299" i="6"/>
  <c r="E289" i="6"/>
  <c r="E279" i="6"/>
  <c r="H272" i="6"/>
  <c r="L63" i="2" s="1"/>
  <c r="E269" i="6"/>
  <c r="H262" i="6"/>
  <c r="L62" i="2" s="1"/>
  <c r="H242" i="6"/>
  <c r="L60" i="2" s="1"/>
  <c r="H232" i="6"/>
  <c r="D222" i="6"/>
  <c r="E209" i="6"/>
  <c r="D206" i="6"/>
  <c r="D207" i="6" s="1"/>
  <c r="E199" i="6"/>
  <c r="D186" i="6"/>
  <c r="D187" i="6" s="1"/>
  <c r="E179" i="6"/>
  <c r="D156" i="6"/>
  <c r="D157" i="6" s="1"/>
  <c r="E149" i="6"/>
  <c r="D146" i="6"/>
  <c r="D147" i="6" s="1"/>
  <c r="E139" i="6"/>
  <c r="D136" i="6"/>
  <c r="D137" i="6" s="1"/>
  <c r="E129" i="6"/>
  <c r="D116" i="6"/>
  <c r="D117" i="6" s="1"/>
  <c r="D96" i="6"/>
  <c r="D97" i="6" s="1"/>
  <c r="E89" i="6"/>
  <c r="D86" i="6"/>
  <c r="D87" i="6" s="1"/>
  <c r="E79" i="6"/>
  <c r="D76" i="6"/>
  <c r="D77" i="6" s="1"/>
  <c r="E69" i="6"/>
  <c r="F69" i="6" s="1"/>
  <c r="F24" i="6"/>
  <c r="F11" i="1"/>
  <c r="F21" i="4" s="1"/>
  <c r="C8" i="4"/>
  <c r="G11" i="1"/>
  <c r="G21" i="4" s="1"/>
  <c r="C39" i="4"/>
  <c r="E11" i="1"/>
  <c r="D11" i="1"/>
  <c r="C11" i="4"/>
  <c r="O23" i="1" s="1"/>
  <c r="C27" i="4"/>
  <c r="C26" i="4"/>
  <c r="C36" i="4"/>
  <c r="C9" i="4"/>
  <c r="O21" i="1" s="1"/>
  <c r="C38" i="4"/>
  <c r="C28" i="4"/>
  <c r="C40" i="4"/>
  <c r="C7" i="4"/>
  <c r="I30" i="4"/>
  <c r="J30" i="4"/>
  <c r="F55" i="5"/>
  <c r="J25" i="4"/>
  <c r="C55" i="5"/>
  <c r="C48" i="5"/>
  <c r="G55" i="5"/>
  <c r="I24" i="4"/>
  <c r="D55" i="5"/>
  <c r="L25" i="4"/>
  <c r="E55" i="5"/>
  <c r="P24" i="4"/>
  <c r="N24" i="4"/>
  <c r="M24" i="4"/>
  <c r="G48" i="5"/>
  <c r="F48" i="5"/>
  <c r="E48" i="5"/>
  <c r="P25" i="4"/>
  <c r="O24" i="4"/>
  <c r="D48" i="5"/>
  <c r="O25" i="4"/>
  <c r="N25" i="4"/>
  <c r="I25" i="4"/>
  <c r="J17" i="4"/>
  <c r="J24" i="4"/>
  <c r="D26" i="5"/>
  <c r="F26" i="5"/>
  <c r="C26" i="5"/>
  <c r="C36" i="5" s="1"/>
  <c r="G26" i="5"/>
  <c r="E26" i="5"/>
  <c r="G34" i="5"/>
  <c r="E34" i="5"/>
  <c r="F34" i="5"/>
  <c r="C34" i="5"/>
  <c r="C37" i="5" s="1"/>
  <c r="D34" i="5"/>
  <c r="C34" i="4"/>
  <c r="C31" i="4"/>
  <c r="C22" i="4"/>
  <c r="C14" i="4"/>
  <c r="C21" i="4"/>
  <c r="C33" i="4"/>
  <c r="C32" i="4"/>
  <c r="C15" i="4"/>
  <c r="C20" i="1"/>
  <c r="C23" i="1" s="1"/>
  <c r="C23" i="4"/>
  <c r="C18" i="4"/>
  <c r="J5" i="4" l="1"/>
  <c r="F109" i="6"/>
  <c r="G109" i="6" s="1"/>
  <c r="E112" i="6"/>
  <c r="H62" i="2"/>
  <c r="D42" i="3" s="1"/>
  <c r="D266" i="6"/>
  <c r="D267" i="6" s="1"/>
  <c r="D11" i="6"/>
  <c r="D635" i="6" s="1"/>
  <c r="P17" i="1"/>
  <c r="I5" i="4"/>
  <c r="D316" i="6"/>
  <c r="D317" i="6" s="1"/>
  <c r="H67" i="2"/>
  <c r="D47" i="3" s="1"/>
  <c r="D626" i="6"/>
  <c r="D627" i="6" s="1"/>
  <c r="H98" i="2"/>
  <c r="D78" i="3" s="1"/>
  <c r="D506" i="6"/>
  <c r="D507" i="6" s="1"/>
  <c r="H86" i="2"/>
  <c r="D66" i="3" s="1"/>
  <c r="E49" i="6"/>
  <c r="H41" i="2"/>
  <c r="D21" i="3" s="1"/>
  <c r="D56" i="6"/>
  <c r="D57" i="6" s="1"/>
  <c r="D456" i="6"/>
  <c r="D457" i="6" s="1"/>
  <c r="H81" i="2"/>
  <c r="D61" i="3" s="1"/>
  <c r="D416" i="6"/>
  <c r="D417" i="6" s="1"/>
  <c r="H77" i="2"/>
  <c r="D57" i="3" s="1"/>
  <c r="D556" i="6"/>
  <c r="D557" i="6" s="1"/>
  <c r="H91" i="2"/>
  <c r="D71" i="3" s="1"/>
  <c r="D566" i="6"/>
  <c r="D567" i="6" s="1"/>
  <c r="H92" i="2"/>
  <c r="D72" i="3" s="1"/>
  <c r="D246" i="6"/>
  <c r="D247" i="6" s="1"/>
  <c r="H60" i="2"/>
  <c r="D40" i="3" s="1"/>
  <c r="E29" i="6"/>
  <c r="E31" i="6" s="1"/>
  <c r="D630" i="6"/>
  <c r="H39" i="2"/>
  <c r="D19" i="3" s="1"/>
  <c r="E579" i="6"/>
  <c r="H94" i="2"/>
  <c r="D74" i="3" s="1"/>
  <c r="E39" i="6"/>
  <c r="H40" i="2"/>
  <c r="D20" i="3" s="1"/>
  <c r="D166" i="6"/>
  <c r="D167" i="6" s="1"/>
  <c r="H52" i="2"/>
  <c r="D32" i="3" s="1"/>
  <c r="D106" i="6"/>
  <c r="D107" i="6" s="1"/>
  <c r="E99" i="6"/>
  <c r="H46" i="2"/>
  <c r="D26" i="3" s="1"/>
  <c r="D66" i="6"/>
  <c r="D67" i="6" s="1"/>
  <c r="H42" i="2"/>
  <c r="D22" i="3" s="1"/>
  <c r="D176" i="6"/>
  <c r="D177" i="6" s="1"/>
  <c r="H53" i="2"/>
  <c r="D33" i="3" s="1"/>
  <c r="D236" i="6"/>
  <c r="D237" i="6" s="1"/>
  <c r="H59" i="2"/>
  <c r="D39" i="3" s="1"/>
  <c r="D406" i="6"/>
  <c r="D407" i="6" s="1"/>
  <c r="H76" i="2"/>
  <c r="D56" i="3" s="1"/>
  <c r="D496" i="6"/>
  <c r="D497" i="6" s="1"/>
  <c r="H85" i="2"/>
  <c r="D65" i="3" s="1"/>
  <c r="E119" i="6"/>
  <c r="H48" i="2"/>
  <c r="D28" i="3" s="1"/>
  <c r="E189" i="6"/>
  <c r="D196" i="6"/>
  <c r="D197" i="6" s="1"/>
  <c r="H55" i="2"/>
  <c r="D35" i="3" s="1"/>
  <c r="D256" i="6"/>
  <c r="D257" i="6" s="1"/>
  <c r="H61" i="2"/>
  <c r="D41" i="3" s="1"/>
  <c r="D326" i="6"/>
  <c r="D327" i="6" s="1"/>
  <c r="H68" i="2"/>
  <c r="D48" i="3" s="1"/>
  <c r="D486" i="6"/>
  <c r="D487" i="6" s="1"/>
  <c r="H84" i="2"/>
  <c r="D64" i="3" s="1"/>
  <c r="D546" i="6"/>
  <c r="D547" i="6" s="1"/>
  <c r="H90" i="2"/>
  <c r="D70" i="3" s="1"/>
  <c r="D536" i="6"/>
  <c r="D537" i="6" s="1"/>
  <c r="H89" i="2"/>
  <c r="D69" i="3" s="1"/>
  <c r="D426" i="6"/>
  <c r="D427" i="6" s="1"/>
  <c r="E419" i="6"/>
  <c r="H78" i="2"/>
  <c r="D58" i="3" s="1"/>
  <c r="D376" i="6"/>
  <c r="D377" i="6" s="1"/>
  <c r="H73" i="2"/>
  <c r="D53" i="3" s="1"/>
  <c r="D366" i="6"/>
  <c r="D367" i="6" s="1"/>
  <c r="H72" i="2"/>
  <c r="D52" i="3" s="1"/>
  <c r="L59" i="2"/>
  <c r="H630" i="6"/>
  <c r="H631" i="6" s="1"/>
  <c r="D226" i="6"/>
  <c r="D227" i="6" s="1"/>
  <c r="H58" i="2"/>
  <c r="D38" i="3" s="1"/>
  <c r="O20" i="1"/>
  <c r="O19" i="1"/>
  <c r="F32" i="4"/>
  <c r="G19" i="4"/>
  <c r="F15" i="4"/>
  <c r="J38" i="4"/>
  <c r="G20" i="1"/>
  <c r="G23" i="1" s="1"/>
  <c r="G8" i="4"/>
  <c r="S20" i="1" s="1"/>
  <c r="C25" i="1"/>
  <c r="C12" i="4"/>
  <c r="O24" i="1" s="1"/>
  <c r="I38" i="4"/>
  <c r="Q17" i="1"/>
  <c r="D6" i="4"/>
  <c r="D49" i="4"/>
  <c r="I8" i="2"/>
  <c r="I22" i="5" s="1"/>
  <c r="D16" i="4"/>
  <c r="E16" i="4"/>
  <c r="J8" i="2"/>
  <c r="J22" i="5" s="1"/>
  <c r="E49" i="4"/>
  <c r="G18" i="4"/>
  <c r="C6" i="7"/>
  <c r="D6" i="7" s="1"/>
  <c r="C19" i="8" s="1"/>
  <c r="D19" i="8" s="1"/>
  <c r="L8" i="2"/>
  <c r="L22" i="5" s="1"/>
  <c r="G49" i="4"/>
  <c r="G16" i="4"/>
  <c r="G15" i="4"/>
  <c r="G28" i="4"/>
  <c r="F8" i="4"/>
  <c r="R20" i="1" s="1"/>
  <c r="K8" i="2"/>
  <c r="K22" i="5" s="1"/>
  <c r="F16" i="4"/>
  <c r="F49" i="4"/>
  <c r="F40" i="4"/>
  <c r="F34" i="4"/>
  <c r="G59" i="5"/>
  <c r="E58" i="5"/>
  <c r="F58" i="5"/>
  <c r="G58" i="5"/>
  <c r="D23" i="4"/>
  <c r="D10" i="4"/>
  <c r="P22" i="1" s="1"/>
  <c r="H11" i="1"/>
  <c r="H11" i="2" s="1"/>
  <c r="H25" i="5" s="1"/>
  <c r="G10" i="4"/>
  <c r="S22" i="1" s="1"/>
  <c r="F23" i="4"/>
  <c r="F36" i="4"/>
  <c r="F18" i="4"/>
  <c r="G34" i="4"/>
  <c r="E10" i="4"/>
  <c r="G32" i="4"/>
  <c r="G14" i="4"/>
  <c r="F14" i="4"/>
  <c r="G6" i="4"/>
  <c r="S18" i="1" s="1"/>
  <c r="F31" i="4"/>
  <c r="F22" i="4"/>
  <c r="G22" i="4"/>
  <c r="F33" i="4"/>
  <c r="D32" i="4"/>
  <c r="F27" i="4"/>
  <c r="F10" i="4"/>
  <c r="R22" i="1" s="1"/>
  <c r="F19" i="4"/>
  <c r="D31" i="4"/>
  <c r="G33" i="4"/>
  <c r="G40" i="4"/>
  <c r="O22" i="1"/>
  <c r="E449" i="6"/>
  <c r="E239" i="6"/>
  <c r="D586" i="6"/>
  <c r="D587" i="6" s="1"/>
  <c r="E549" i="6"/>
  <c r="E229" i="6"/>
  <c r="E232" i="6" s="1"/>
  <c r="E559" i="6"/>
  <c r="E399" i="6"/>
  <c r="E402" i="6" s="1"/>
  <c r="D46" i="6"/>
  <c r="D47" i="6" s="1"/>
  <c r="E409" i="6"/>
  <c r="E412" i="6" s="1"/>
  <c r="E489" i="6"/>
  <c r="E492" i="6" s="1"/>
  <c r="D36" i="6"/>
  <c r="D37" i="6" s="1"/>
  <c r="D126" i="6"/>
  <c r="D127" i="6" s="1"/>
  <c r="F112" i="6"/>
  <c r="J47" i="2" s="1"/>
  <c r="E319" i="6"/>
  <c r="F319" i="6" s="1"/>
  <c r="E159" i="6"/>
  <c r="F159" i="6" s="1"/>
  <c r="E529" i="6"/>
  <c r="F529" i="6" s="1"/>
  <c r="E479" i="6"/>
  <c r="E59" i="6"/>
  <c r="E62" i="6" s="1"/>
  <c r="E169" i="6"/>
  <c r="F169" i="6" s="1"/>
  <c r="E359" i="6"/>
  <c r="E362" i="6" s="1"/>
  <c r="G111" i="6"/>
  <c r="G112" i="6" s="1"/>
  <c r="E249" i="6"/>
  <c r="F249" i="6" s="1"/>
  <c r="E369" i="6"/>
  <c r="E372" i="6" s="1"/>
  <c r="F619" i="6"/>
  <c r="E622" i="6"/>
  <c r="E612" i="6"/>
  <c r="F609" i="6"/>
  <c r="F599" i="6"/>
  <c r="E602" i="6"/>
  <c r="E592" i="6"/>
  <c r="F589" i="6"/>
  <c r="E569" i="6"/>
  <c r="D576" i="6"/>
  <c r="D577" i="6" s="1"/>
  <c r="F539" i="6"/>
  <c r="E542" i="6"/>
  <c r="F519" i="6"/>
  <c r="E522" i="6"/>
  <c r="F509" i="6"/>
  <c r="E512" i="6"/>
  <c r="E502" i="6"/>
  <c r="F499" i="6"/>
  <c r="F469" i="6"/>
  <c r="E472" i="6"/>
  <c r="F459" i="6"/>
  <c r="E462" i="6"/>
  <c r="F439" i="6"/>
  <c r="E442" i="6"/>
  <c r="E432" i="6"/>
  <c r="F429" i="6"/>
  <c r="E392" i="6"/>
  <c r="F389" i="6"/>
  <c r="F379" i="6"/>
  <c r="E382" i="6"/>
  <c r="F349" i="6"/>
  <c r="E352" i="6"/>
  <c r="F339" i="6"/>
  <c r="E342" i="6"/>
  <c r="F329" i="6"/>
  <c r="E332" i="6"/>
  <c r="F309" i="6"/>
  <c r="E312" i="6"/>
  <c r="F299" i="6"/>
  <c r="E302" i="6"/>
  <c r="E292" i="6"/>
  <c r="F289" i="6"/>
  <c r="E282" i="6"/>
  <c r="F279" i="6"/>
  <c r="E272" i="6"/>
  <c r="F269" i="6"/>
  <c r="F259" i="6"/>
  <c r="E262" i="6"/>
  <c r="E219" i="6"/>
  <c r="E222" i="6"/>
  <c r="F219" i="6"/>
  <c r="E212" i="6"/>
  <c r="F209" i="6"/>
  <c r="F199" i="6"/>
  <c r="E202" i="6"/>
  <c r="F179" i="6"/>
  <c r="E182" i="6"/>
  <c r="F149" i="6"/>
  <c r="E152" i="6"/>
  <c r="F139" i="6"/>
  <c r="E142" i="6"/>
  <c r="E132" i="6"/>
  <c r="F129" i="6"/>
  <c r="F89" i="6"/>
  <c r="E92" i="6"/>
  <c r="E82" i="6"/>
  <c r="F79" i="6"/>
  <c r="E72" i="6"/>
  <c r="G24" i="6"/>
  <c r="D15" i="4"/>
  <c r="F11" i="4"/>
  <c r="R23" i="1" s="1"/>
  <c r="F26" i="4"/>
  <c r="D18" i="4"/>
  <c r="D8" i="4"/>
  <c r="F7" i="4"/>
  <c r="R19" i="1" s="1"/>
  <c r="F28" i="4"/>
  <c r="G23" i="4"/>
  <c r="D33" i="4"/>
  <c r="F9" i="4"/>
  <c r="R21" i="1" s="1"/>
  <c r="G26" i="4"/>
  <c r="F39" i="4"/>
  <c r="E21" i="4"/>
  <c r="J21" i="4" s="1"/>
  <c r="E15" i="4"/>
  <c r="E32" i="4"/>
  <c r="E31" i="4"/>
  <c r="E22" i="4"/>
  <c r="E39" i="4"/>
  <c r="E23" i="4"/>
  <c r="E18" i="4"/>
  <c r="E36" i="4"/>
  <c r="E14" i="4"/>
  <c r="E8" i="4"/>
  <c r="Q20" i="1" s="1"/>
  <c r="E33" i="4"/>
  <c r="E28" i="4"/>
  <c r="G27" i="4"/>
  <c r="G39" i="4"/>
  <c r="G37" i="4"/>
  <c r="G11" i="4"/>
  <c r="S23" i="1" s="1"/>
  <c r="G9" i="4"/>
  <c r="S21" i="1" s="1"/>
  <c r="G31" i="4"/>
  <c r="E20" i="1"/>
  <c r="E23" i="1" s="1"/>
  <c r="E9" i="4"/>
  <c r="Q21" i="1" s="1"/>
  <c r="F6" i="4"/>
  <c r="R18" i="1" s="1"/>
  <c r="G36" i="4"/>
  <c r="E11" i="4"/>
  <c r="Q23" i="1" s="1"/>
  <c r="G7" i="4"/>
  <c r="S19" i="1" s="1"/>
  <c r="D14" i="4"/>
  <c r="E6" i="4"/>
  <c r="D27" i="4"/>
  <c r="D7" i="4"/>
  <c r="P19" i="1" s="1"/>
  <c r="D9" i="4"/>
  <c r="P21" i="1" s="1"/>
  <c r="D26" i="4"/>
  <c r="E26" i="4"/>
  <c r="E34" i="4"/>
  <c r="D37" i="4"/>
  <c r="D19" i="4"/>
  <c r="D20" i="1"/>
  <c r="D23" i="1" s="1"/>
  <c r="D36" i="4"/>
  <c r="D39" i="4"/>
  <c r="D22" i="4"/>
  <c r="D21" i="4"/>
  <c r="F20" i="1"/>
  <c r="F23" i="1" s="1"/>
  <c r="F37" i="4"/>
  <c r="D34" i="4"/>
  <c r="D40" i="4"/>
  <c r="D11" i="4"/>
  <c r="P23" i="1" s="1"/>
  <c r="E19" i="4"/>
  <c r="E27" i="4"/>
  <c r="E40" i="4"/>
  <c r="E7" i="4"/>
  <c r="E37" i="4"/>
  <c r="D28" i="4"/>
  <c r="D58" i="5"/>
  <c r="D59" i="5"/>
  <c r="D37" i="5"/>
  <c r="D36" i="5"/>
  <c r="E59" i="5"/>
  <c r="E36" i="5"/>
  <c r="G36" i="5"/>
  <c r="F37" i="5"/>
  <c r="F59" i="5"/>
  <c r="C38" i="5"/>
  <c r="F36" i="5"/>
  <c r="E37" i="5"/>
  <c r="G37" i="5"/>
  <c r="F119" i="6" l="1"/>
  <c r="E122" i="6"/>
  <c r="F419" i="6"/>
  <c r="E422" i="6"/>
  <c r="F449" i="6"/>
  <c r="E452" i="6"/>
  <c r="E552" i="6"/>
  <c r="F549" i="6"/>
  <c r="I47" i="2"/>
  <c r="E116" i="6"/>
  <c r="E117" i="6" s="1"/>
  <c r="F49" i="6"/>
  <c r="F51" i="6" s="1"/>
  <c r="F52" i="6" s="1"/>
  <c r="E52" i="6"/>
  <c r="F579" i="6"/>
  <c r="E582" i="6"/>
  <c r="F39" i="6"/>
  <c r="F41" i="6" s="1"/>
  <c r="F42" i="6" s="1"/>
  <c r="E42" i="6"/>
  <c r="J41" i="2"/>
  <c r="F56" i="6"/>
  <c r="F57" i="6" s="1"/>
  <c r="I39" i="2"/>
  <c r="E32" i="6"/>
  <c r="E36" i="6" s="1"/>
  <c r="E37" i="6" s="1"/>
  <c r="D631" i="6"/>
  <c r="D636" i="6"/>
  <c r="D84" i="3"/>
  <c r="E102" i="6"/>
  <c r="F99" i="6"/>
  <c r="F189" i="6"/>
  <c r="E192" i="6"/>
  <c r="P18" i="1"/>
  <c r="I6" i="4"/>
  <c r="E586" i="6"/>
  <c r="E587" i="6" s="1"/>
  <c r="I94" i="2"/>
  <c r="E242" i="6"/>
  <c r="F239" i="6"/>
  <c r="E236" i="6"/>
  <c r="E237" i="6" s="1"/>
  <c r="I59" i="2"/>
  <c r="E39" i="3" s="1"/>
  <c r="E562" i="6"/>
  <c r="F559" i="6"/>
  <c r="E406" i="6"/>
  <c r="E407" i="6" s="1"/>
  <c r="I76" i="2"/>
  <c r="E56" i="3" s="1"/>
  <c r="E416" i="6"/>
  <c r="E417" i="6" s="1"/>
  <c r="I77" i="2"/>
  <c r="E57" i="3" s="1"/>
  <c r="E496" i="6"/>
  <c r="E497" i="6" s="1"/>
  <c r="I85" i="2"/>
  <c r="E65" i="3" s="1"/>
  <c r="F479" i="6"/>
  <c r="E482" i="6"/>
  <c r="E66" i="6"/>
  <c r="E67" i="6" s="1"/>
  <c r="I42" i="2"/>
  <c r="E22" i="3" s="1"/>
  <c r="E366" i="6"/>
  <c r="E367" i="6" s="1"/>
  <c r="I72" i="2"/>
  <c r="E52" i="3" s="1"/>
  <c r="K47" i="2"/>
  <c r="E376" i="6"/>
  <c r="E377" i="6" s="1"/>
  <c r="I73" i="2"/>
  <c r="E53" i="3" s="1"/>
  <c r="E626" i="6"/>
  <c r="E627" i="6" s="1"/>
  <c r="I98" i="2"/>
  <c r="E78" i="3" s="1"/>
  <c r="E616" i="6"/>
  <c r="E617" i="6" s="1"/>
  <c r="I97" i="2"/>
  <c r="E77" i="3" s="1"/>
  <c r="E606" i="6"/>
  <c r="E607" i="6" s="1"/>
  <c r="I96" i="2"/>
  <c r="E76" i="3" s="1"/>
  <c r="E596" i="6"/>
  <c r="E597" i="6" s="1"/>
  <c r="I95" i="2"/>
  <c r="E75" i="3" s="1"/>
  <c r="E556" i="6"/>
  <c r="E557" i="6" s="1"/>
  <c r="I91" i="2"/>
  <c r="E71" i="3" s="1"/>
  <c r="E546" i="6"/>
  <c r="E547" i="6" s="1"/>
  <c r="I90" i="2"/>
  <c r="E70" i="3" s="1"/>
  <c r="E526" i="6"/>
  <c r="E527" i="6" s="1"/>
  <c r="I88" i="2"/>
  <c r="E68" i="3" s="1"/>
  <c r="E516" i="6"/>
  <c r="E517" i="6" s="1"/>
  <c r="I87" i="2"/>
  <c r="E67" i="3" s="1"/>
  <c r="E506" i="6"/>
  <c r="E507" i="6" s="1"/>
  <c r="I86" i="2"/>
  <c r="E66" i="3" s="1"/>
  <c r="E476" i="6"/>
  <c r="E477" i="6" s="1"/>
  <c r="I83" i="2"/>
  <c r="E63" i="3" s="1"/>
  <c r="E466" i="6"/>
  <c r="E467" i="6" s="1"/>
  <c r="I82" i="2"/>
  <c r="E62" i="3" s="1"/>
  <c r="E456" i="6"/>
  <c r="E457" i="6" s="1"/>
  <c r="I81" i="2"/>
  <c r="E61" i="3" s="1"/>
  <c r="E446" i="6"/>
  <c r="E447" i="6" s="1"/>
  <c r="I80" i="2"/>
  <c r="E60" i="3" s="1"/>
  <c r="E436" i="6"/>
  <c r="E437" i="6" s="1"/>
  <c r="I79" i="2"/>
  <c r="E59" i="3" s="1"/>
  <c r="E426" i="6"/>
  <c r="E427" i="6" s="1"/>
  <c r="I78" i="2"/>
  <c r="E58" i="3" s="1"/>
  <c r="E396" i="6"/>
  <c r="E397" i="6" s="1"/>
  <c r="I75" i="2"/>
  <c r="E55" i="3" s="1"/>
  <c r="E386" i="6"/>
  <c r="E387" i="6" s="1"/>
  <c r="I74" i="2"/>
  <c r="E54" i="3" s="1"/>
  <c r="E356" i="6"/>
  <c r="E357" i="6" s="1"/>
  <c r="I71" i="2"/>
  <c r="E51" i="3" s="1"/>
  <c r="E346" i="6"/>
  <c r="E347" i="6" s="1"/>
  <c r="I70" i="2"/>
  <c r="E50" i="3" s="1"/>
  <c r="E336" i="6"/>
  <c r="E337" i="6" s="1"/>
  <c r="I69" i="2"/>
  <c r="E49" i="3" s="1"/>
  <c r="E316" i="6"/>
  <c r="E317" i="6" s="1"/>
  <c r="I67" i="2"/>
  <c r="E47" i="3" s="1"/>
  <c r="E306" i="6"/>
  <c r="E307" i="6" s="1"/>
  <c r="I66" i="2"/>
  <c r="E46" i="3" s="1"/>
  <c r="E296" i="6"/>
  <c r="E297" i="6" s="1"/>
  <c r="I65" i="2"/>
  <c r="E45" i="3" s="1"/>
  <c r="E286" i="6"/>
  <c r="E287" i="6" s="1"/>
  <c r="I64" i="2"/>
  <c r="E44" i="3" s="1"/>
  <c r="E276" i="6"/>
  <c r="E277" i="6" s="1"/>
  <c r="I63" i="2"/>
  <c r="E43" i="3" s="1"/>
  <c r="E266" i="6"/>
  <c r="E267" i="6" s="1"/>
  <c r="I62" i="2"/>
  <c r="E42" i="3" s="1"/>
  <c r="E226" i="6"/>
  <c r="E227" i="6" s="1"/>
  <c r="I58" i="2"/>
  <c r="E38" i="3" s="1"/>
  <c r="E216" i="6"/>
  <c r="E217" i="6" s="1"/>
  <c r="I57" i="2"/>
  <c r="E37" i="3" s="1"/>
  <c r="E206" i="6"/>
  <c r="E207" i="6" s="1"/>
  <c r="I56" i="2"/>
  <c r="E36" i="3" s="1"/>
  <c r="E186" i="6"/>
  <c r="E187" i="6" s="1"/>
  <c r="I54" i="2"/>
  <c r="E34" i="3" s="1"/>
  <c r="E156" i="6"/>
  <c r="E157" i="6" s="1"/>
  <c r="I51" i="2"/>
  <c r="E31" i="3" s="1"/>
  <c r="E146" i="6"/>
  <c r="E147" i="6" s="1"/>
  <c r="I50" i="2"/>
  <c r="E30" i="3" s="1"/>
  <c r="E136" i="6"/>
  <c r="E137" i="6" s="1"/>
  <c r="I49" i="2"/>
  <c r="E29" i="3" s="1"/>
  <c r="E126" i="6"/>
  <c r="E127" i="6" s="1"/>
  <c r="I48" i="2"/>
  <c r="E28" i="3" s="1"/>
  <c r="E96" i="6"/>
  <c r="E97" i="6" s="1"/>
  <c r="I45" i="2"/>
  <c r="E25" i="3" s="1"/>
  <c r="E86" i="6"/>
  <c r="E87" i="6" s="1"/>
  <c r="I44" i="2"/>
  <c r="E24" i="3" s="1"/>
  <c r="E76" i="6"/>
  <c r="E77" i="6" s="1"/>
  <c r="I43" i="2"/>
  <c r="E23" i="3" s="1"/>
  <c r="P20" i="1"/>
  <c r="I8" i="4"/>
  <c r="Q18" i="1"/>
  <c r="J6" i="4"/>
  <c r="Q19" i="1"/>
  <c r="J7" i="4"/>
  <c r="I7" i="4"/>
  <c r="T19" i="8"/>
  <c r="U19" i="8"/>
  <c r="C7" i="7"/>
  <c r="D25" i="1"/>
  <c r="D7" i="5" s="1"/>
  <c r="D10" i="5" s="1"/>
  <c r="E6" i="5" s="1"/>
  <c r="D12" i="4"/>
  <c r="P24" i="1" s="1"/>
  <c r="G25" i="1"/>
  <c r="G12" i="4"/>
  <c r="S24" i="1" s="1"/>
  <c r="E25" i="1"/>
  <c r="E7" i="5" s="1"/>
  <c r="E12" i="4"/>
  <c r="Q24" i="1" s="1"/>
  <c r="F25" i="1"/>
  <c r="F7" i="5" s="1"/>
  <c r="F12" i="4"/>
  <c r="R24" i="1" s="1"/>
  <c r="I16" i="4"/>
  <c r="J16" i="4"/>
  <c r="V19" i="8"/>
  <c r="J49" i="4"/>
  <c r="I49" i="4"/>
  <c r="D38" i="5"/>
  <c r="G60" i="5"/>
  <c r="C12" i="3" s="1"/>
  <c r="C13" i="3" s="1"/>
  <c r="H10" i="2"/>
  <c r="H24" i="5" s="1"/>
  <c r="H31" i="2"/>
  <c r="H32" i="5" s="1"/>
  <c r="I15" i="4"/>
  <c r="H29" i="2"/>
  <c r="H30" i="5" s="1"/>
  <c r="H106" i="2"/>
  <c r="H54" i="5" s="1"/>
  <c r="H19" i="2"/>
  <c r="H45" i="5" s="1"/>
  <c r="H15" i="1"/>
  <c r="H103" i="2"/>
  <c r="H51" i="5" s="1"/>
  <c r="H102" i="2"/>
  <c r="H15" i="2"/>
  <c r="H41" i="5" s="1"/>
  <c r="H30" i="2"/>
  <c r="H31" i="5" s="1"/>
  <c r="J8" i="4"/>
  <c r="J40" i="4"/>
  <c r="H7" i="2"/>
  <c r="H21" i="5" s="1"/>
  <c r="J34" i="4"/>
  <c r="H16" i="2"/>
  <c r="H42" i="5" s="1"/>
  <c r="H20" i="2"/>
  <c r="H46" i="5" s="1"/>
  <c r="H15" i="5"/>
  <c r="D12" i="11" s="1"/>
  <c r="H32" i="2"/>
  <c r="H33" i="5" s="1"/>
  <c r="H104" i="2"/>
  <c r="H52" i="5" s="1"/>
  <c r="H18" i="1"/>
  <c r="H5" i="2"/>
  <c r="D638" i="6" s="1"/>
  <c r="H105" i="2"/>
  <c r="H53" i="5" s="1"/>
  <c r="I11" i="1"/>
  <c r="I29" i="2" s="1"/>
  <c r="I30" i="5" s="1"/>
  <c r="H14" i="1"/>
  <c r="H13" i="1"/>
  <c r="I10" i="4"/>
  <c r="E60" i="5"/>
  <c r="E38" i="5"/>
  <c r="J18" i="4"/>
  <c r="J22" i="4"/>
  <c r="J19" i="4"/>
  <c r="H21" i="2"/>
  <c r="H47" i="5" s="1"/>
  <c r="J14" i="4"/>
  <c r="J32" i="4"/>
  <c r="Q22" i="1"/>
  <c r="J10" i="4"/>
  <c r="I33" i="4"/>
  <c r="I14" i="4"/>
  <c r="H22" i="1"/>
  <c r="I22" i="4"/>
  <c r="J15" i="4"/>
  <c r="I21" i="4"/>
  <c r="J26" i="4"/>
  <c r="J27" i="4"/>
  <c r="J36" i="4"/>
  <c r="I18" i="4"/>
  <c r="F399" i="6"/>
  <c r="F489" i="6"/>
  <c r="F409" i="6"/>
  <c r="F229" i="6"/>
  <c r="E322" i="6"/>
  <c r="G116" i="6"/>
  <c r="G117" i="6" s="1"/>
  <c r="E162" i="6"/>
  <c r="F369" i="6"/>
  <c r="G369" i="6" s="1"/>
  <c r="F59" i="6"/>
  <c r="F61" i="6" s="1"/>
  <c r="F62" i="6" s="1"/>
  <c r="E532" i="6"/>
  <c r="F359" i="6"/>
  <c r="G359" i="6" s="1"/>
  <c r="E172" i="6"/>
  <c r="E252" i="6"/>
  <c r="G619" i="6"/>
  <c r="F622" i="6"/>
  <c r="G609" i="6"/>
  <c r="F612" i="6"/>
  <c r="G599" i="6"/>
  <c r="F602" i="6"/>
  <c r="F592" i="6"/>
  <c r="G589" i="6"/>
  <c r="E572" i="6"/>
  <c r="F569" i="6"/>
  <c r="G549" i="6"/>
  <c r="F552" i="6"/>
  <c r="G539" i="6"/>
  <c r="F542" i="6"/>
  <c r="F532" i="6"/>
  <c r="J89" i="2" s="1"/>
  <c r="G529" i="6"/>
  <c r="G519" i="6"/>
  <c r="F522" i="6"/>
  <c r="F512" i="6"/>
  <c r="G509" i="6"/>
  <c r="G499" i="6"/>
  <c r="F502" i="6"/>
  <c r="F472" i="6"/>
  <c r="G469" i="6"/>
  <c r="G459" i="6"/>
  <c r="F462" i="6"/>
  <c r="F452" i="6"/>
  <c r="G449" i="6"/>
  <c r="F442" i="6"/>
  <c r="G439" i="6"/>
  <c r="F432" i="6"/>
  <c r="G429" i="6"/>
  <c r="F422" i="6"/>
  <c r="G419" i="6"/>
  <c r="G389" i="6"/>
  <c r="F392" i="6"/>
  <c r="F382" i="6"/>
  <c r="G379" i="6"/>
  <c r="G349" i="6"/>
  <c r="F352" i="6"/>
  <c r="F342" i="6"/>
  <c r="G339" i="6"/>
  <c r="G329" i="6"/>
  <c r="F332" i="6"/>
  <c r="G319" i="6"/>
  <c r="F322" i="6"/>
  <c r="G309" i="6"/>
  <c r="F312" i="6"/>
  <c r="G299" i="6"/>
  <c r="F302" i="6"/>
  <c r="G289" i="6"/>
  <c r="F292" i="6"/>
  <c r="F282" i="6"/>
  <c r="G279" i="6"/>
  <c r="G269" i="6"/>
  <c r="F272" i="6"/>
  <c r="G259" i="6"/>
  <c r="F262" i="6"/>
  <c r="G249" i="6"/>
  <c r="F252" i="6"/>
  <c r="J61" i="2" s="1"/>
  <c r="G219" i="6"/>
  <c r="F222" i="6"/>
  <c r="F212" i="6"/>
  <c r="G209" i="6"/>
  <c r="G199" i="6"/>
  <c r="H199" i="6" s="1"/>
  <c r="F202" i="6"/>
  <c r="G179" i="6"/>
  <c r="F182" i="6"/>
  <c r="G169" i="6"/>
  <c r="F172" i="6"/>
  <c r="J53" i="2" s="1"/>
  <c r="G159" i="6"/>
  <c r="F162" i="6"/>
  <c r="J52" i="2" s="1"/>
  <c r="G149" i="6"/>
  <c r="F152" i="6"/>
  <c r="F142" i="6"/>
  <c r="G139" i="6"/>
  <c r="G129" i="6"/>
  <c r="F132" i="6"/>
  <c r="G119" i="6"/>
  <c r="F122" i="6"/>
  <c r="F116" i="6"/>
  <c r="F117" i="6" s="1"/>
  <c r="F91" i="6"/>
  <c r="F92" i="6" s="1"/>
  <c r="F81" i="6"/>
  <c r="F82" i="6" s="1"/>
  <c r="F71" i="6"/>
  <c r="F72" i="6" s="1"/>
  <c r="H24" i="6"/>
  <c r="I32" i="4"/>
  <c r="I34" i="4"/>
  <c r="J33" i="4"/>
  <c r="J31" i="4"/>
  <c r="J28" i="4"/>
  <c r="J23" i="4"/>
  <c r="I36" i="4"/>
  <c r="I19" i="4"/>
  <c r="I9" i="4"/>
  <c r="I23" i="4"/>
  <c r="J39" i="4"/>
  <c r="I31" i="4"/>
  <c r="I28" i="4"/>
  <c r="I39" i="4"/>
  <c r="J9" i="4"/>
  <c r="I11" i="4"/>
  <c r="I26" i="4"/>
  <c r="J11" i="4"/>
  <c r="I37" i="4"/>
  <c r="I40" i="4"/>
  <c r="I27" i="4"/>
  <c r="J37" i="4"/>
  <c r="G38" i="5"/>
  <c r="C7" i="3" s="1"/>
  <c r="D60" i="5"/>
  <c r="F60" i="5"/>
  <c r="F38" i="5"/>
  <c r="E27" i="3" l="1"/>
  <c r="F27" i="3"/>
  <c r="E56" i="6"/>
  <c r="E57" i="6" s="1"/>
  <c r="I41" i="2"/>
  <c r="E21" i="3" s="1"/>
  <c r="F582" i="6"/>
  <c r="G579" i="6"/>
  <c r="E46" i="6"/>
  <c r="E47" i="6" s="1"/>
  <c r="I40" i="2"/>
  <c r="E20" i="3" s="1"/>
  <c r="G399" i="6"/>
  <c r="F402" i="6"/>
  <c r="G489" i="6"/>
  <c r="F492" i="6"/>
  <c r="G409" i="6"/>
  <c r="F412" i="6"/>
  <c r="F232" i="6"/>
  <c r="G229" i="6"/>
  <c r="G21" i="3"/>
  <c r="F21" i="3"/>
  <c r="F19" i="3"/>
  <c r="E19" i="3"/>
  <c r="I46" i="2"/>
  <c r="E26" i="3" s="1"/>
  <c r="E106" i="6"/>
  <c r="E107" i="6" s="1"/>
  <c r="I55" i="2"/>
  <c r="E35" i="3" s="1"/>
  <c r="E196" i="6"/>
  <c r="E197" i="6" s="1"/>
  <c r="E74" i="3"/>
  <c r="I60" i="2"/>
  <c r="E40" i="3" s="1"/>
  <c r="E246" i="6"/>
  <c r="E247" i="6" s="1"/>
  <c r="I92" i="2"/>
  <c r="E72" i="3" s="1"/>
  <c r="E566" i="6"/>
  <c r="E567" i="6" s="1"/>
  <c r="I84" i="2"/>
  <c r="E64" i="3" s="1"/>
  <c r="E486" i="6"/>
  <c r="E487" i="6" s="1"/>
  <c r="H27" i="3"/>
  <c r="G27" i="3"/>
  <c r="E630" i="6"/>
  <c r="E631" i="6" s="1"/>
  <c r="F166" i="6"/>
  <c r="F167" i="6" s="1"/>
  <c r="F101" i="6"/>
  <c r="F102" i="6"/>
  <c r="G189" i="6"/>
  <c r="G191" i="6" s="1"/>
  <c r="G192" i="6" s="1"/>
  <c r="F192" i="6"/>
  <c r="G239" i="6"/>
  <c r="F242" i="6"/>
  <c r="G559" i="6"/>
  <c r="F562" i="6"/>
  <c r="F482" i="6"/>
  <c r="G479" i="6"/>
  <c r="C9" i="7"/>
  <c r="D7" i="7"/>
  <c r="C25" i="8" s="1"/>
  <c r="D25" i="8" s="1"/>
  <c r="V25" i="8" s="1"/>
  <c r="E326" i="6"/>
  <c r="E327" i="6" s="1"/>
  <c r="I68" i="2"/>
  <c r="E48" i="3" s="1"/>
  <c r="E166" i="6"/>
  <c r="E167" i="6" s="1"/>
  <c r="I52" i="2"/>
  <c r="E536" i="6"/>
  <c r="E537" i="6" s="1"/>
  <c r="I89" i="2"/>
  <c r="E176" i="6"/>
  <c r="E177" i="6" s="1"/>
  <c r="I53" i="2"/>
  <c r="E256" i="6"/>
  <c r="E257" i="6" s="1"/>
  <c r="I61" i="2"/>
  <c r="F46" i="6"/>
  <c r="F47" i="6" s="1"/>
  <c r="J40" i="2"/>
  <c r="F626" i="6"/>
  <c r="F627" i="6" s="1"/>
  <c r="J98" i="2"/>
  <c r="F78" i="3" s="1"/>
  <c r="F616" i="6"/>
  <c r="F617" i="6" s="1"/>
  <c r="J97" i="2"/>
  <c r="F77" i="3" s="1"/>
  <c r="F606" i="6"/>
  <c r="F607" i="6" s="1"/>
  <c r="J96" i="2"/>
  <c r="F76" i="3" s="1"/>
  <c r="F596" i="6"/>
  <c r="F597" i="6" s="1"/>
  <c r="J95" i="2"/>
  <c r="F75" i="3" s="1"/>
  <c r="E576" i="6"/>
  <c r="E577" i="6" s="1"/>
  <c r="I93" i="2"/>
  <c r="E73" i="3" s="1"/>
  <c r="F556" i="6"/>
  <c r="F557" i="6" s="1"/>
  <c r="J91" i="2"/>
  <c r="F71" i="3" s="1"/>
  <c r="F546" i="6"/>
  <c r="F547" i="6" s="1"/>
  <c r="J90" i="2"/>
  <c r="F70" i="3" s="1"/>
  <c r="F526" i="6"/>
  <c r="F527" i="6" s="1"/>
  <c r="J88" i="2"/>
  <c r="F68" i="3" s="1"/>
  <c r="F516" i="6"/>
  <c r="F517" i="6" s="1"/>
  <c r="J87" i="2"/>
  <c r="F67" i="3" s="1"/>
  <c r="F506" i="6"/>
  <c r="F507" i="6" s="1"/>
  <c r="J86" i="2"/>
  <c r="F66" i="3" s="1"/>
  <c r="F476" i="6"/>
  <c r="F477" i="6" s="1"/>
  <c r="J83" i="2"/>
  <c r="F63" i="3" s="1"/>
  <c r="F466" i="6"/>
  <c r="F467" i="6" s="1"/>
  <c r="J82" i="2"/>
  <c r="F62" i="3" s="1"/>
  <c r="F456" i="6"/>
  <c r="F457" i="6" s="1"/>
  <c r="J81" i="2"/>
  <c r="F61" i="3" s="1"/>
  <c r="F446" i="6"/>
  <c r="F447" i="6" s="1"/>
  <c r="J80" i="2"/>
  <c r="F60" i="3" s="1"/>
  <c r="F436" i="6"/>
  <c r="F437" i="6" s="1"/>
  <c r="J79" i="2"/>
  <c r="F59" i="3" s="1"/>
  <c r="F426" i="6"/>
  <c r="F427" i="6" s="1"/>
  <c r="J78" i="2"/>
  <c r="F58" i="3" s="1"/>
  <c r="F396" i="6"/>
  <c r="F397" i="6" s="1"/>
  <c r="J75" i="2"/>
  <c r="F55" i="3" s="1"/>
  <c r="F386" i="6"/>
  <c r="F387" i="6" s="1"/>
  <c r="J74" i="2"/>
  <c r="F54" i="3" s="1"/>
  <c r="F356" i="6"/>
  <c r="F357" i="6" s="1"/>
  <c r="J71" i="2"/>
  <c r="F51" i="3" s="1"/>
  <c r="F346" i="6"/>
  <c r="F347" i="6" s="1"/>
  <c r="J70" i="2"/>
  <c r="F50" i="3" s="1"/>
  <c r="F336" i="6"/>
  <c r="F337" i="6" s="1"/>
  <c r="J69" i="2"/>
  <c r="F49" i="3" s="1"/>
  <c r="F326" i="6"/>
  <c r="F327" i="6" s="1"/>
  <c r="J68" i="2"/>
  <c r="F316" i="6"/>
  <c r="F317" i="6" s="1"/>
  <c r="J67" i="2"/>
  <c r="F47" i="3" s="1"/>
  <c r="F306" i="6"/>
  <c r="F307" i="6" s="1"/>
  <c r="J66" i="2"/>
  <c r="F46" i="3" s="1"/>
  <c r="F296" i="6"/>
  <c r="F297" i="6" s="1"/>
  <c r="J65" i="2"/>
  <c r="F45" i="3" s="1"/>
  <c r="F286" i="6"/>
  <c r="F287" i="6" s="1"/>
  <c r="J64" i="2"/>
  <c r="F44" i="3" s="1"/>
  <c r="F276" i="6"/>
  <c r="F277" i="6" s="1"/>
  <c r="J63" i="2"/>
  <c r="F43" i="3" s="1"/>
  <c r="F266" i="6"/>
  <c r="F267" i="6" s="1"/>
  <c r="J62" i="2"/>
  <c r="F42" i="3" s="1"/>
  <c r="F226" i="6"/>
  <c r="F227" i="6" s="1"/>
  <c r="J58" i="2"/>
  <c r="F38" i="3" s="1"/>
  <c r="F216" i="6"/>
  <c r="F217" i="6" s="1"/>
  <c r="J57" i="2"/>
  <c r="F37" i="3" s="1"/>
  <c r="F206" i="6"/>
  <c r="F207" i="6" s="1"/>
  <c r="J56" i="2"/>
  <c r="F36" i="3" s="1"/>
  <c r="F186" i="6"/>
  <c r="F187" i="6" s="1"/>
  <c r="J54" i="2"/>
  <c r="F34" i="3" s="1"/>
  <c r="F156" i="6"/>
  <c r="F157" i="6" s="1"/>
  <c r="J51" i="2"/>
  <c r="F31" i="3" s="1"/>
  <c r="F146" i="6"/>
  <c r="F147" i="6" s="1"/>
  <c r="J50" i="2"/>
  <c r="F30" i="3" s="1"/>
  <c r="F136" i="6"/>
  <c r="F137" i="6" s="1"/>
  <c r="J49" i="2"/>
  <c r="F29" i="3" s="1"/>
  <c r="F126" i="6"/>
  <c r="F127" i="6" s="1"/>
  <c r="J48" i="2"/>
  <c r="F28" i="3" s="1"/>
  <c r="F96" i="6"/>
  <c r="F97" i="6" s="1"/>
  <c r="J45" i="2"/>
  <c r="F86" i="6"/>
  <c r="F87" i="6" s="1"/>
  <c r="J44" i="2"/>
  <c r="F76" i="6"/>
  <c r="F77" i="6" s="1"/>
  <c r="J43" i="2"/>
  <c r="F66" i="6"/>
  <c r="F67" i="6" s="1"/>
  <c r="J42" i="2"/>
  <c r="E10" i="5"/>
  <c r="F6" i="5" s="1"/>
  <c r="F10" i="5" s="1"/>
  <c r="G6" i="5" s="1"/>
  <c r="I12" i="4"/>
  <c r="J12" i="4"/>
  <c r="C10" i="7"/>
  <c r="D10" i="7" s="1"/>
  <c r="C5" i="3"/>
  <c r="C8" i="3" s="1"/>
  <c r="C88" i="3" s="1"/>
  <c r="G7" i="5"/>
  <c r="H16" i="5"/>
  <c r="D6" i="3" s="1"/>
  <c r="D10" i="11"/>
  <c r="H50" i="5"/>
  <c r="H55" i="5" s="1"/>
  <c r="H59" i="5" s="1"/>
  <c r="D14" i="11" s="1"/>
  <c r="H108" i="2"/>
  <c r="I106" i="2"/>
  <c r="I54" i="5" s="1"/>
  <c r="J11" i="1"/>
  <c r="J15" i="5" s="1"/>
  <c r="I18" i="1"/>
  <c r="I105" i="2"/>
  <c r="I53" i="5" s="1"/>
  <c r="I102" i="2"/>
  <c r="I50" i="5" s="1"/>
  <c r="I20" i="2"/>
  <c r="I46" i="5" s="1"/>
  <c r="I22" i="1"/>
  <c r="I15" i="1"/>
  <c r="D95" i="3"/>
  <c r="H25" i="2" s="1"/>
  <c r="D5" i="6" s="1"/>
  <c r="I19" i="2"/>
  <c r="I45" i="5" s="1"/>
  <c r="I15" i="5"/>
  <c r="I30" i="2"/>
  <c r="I31" i="5" s="1"/>
  <c r="I103" i="2"/>
  <c r="I51" i="5" s="1"/>
  <c r="I15" i="2"/>
  <c r="I41" i="5" s="1"/>
  <c r="I13" i="1"/>
  <c r="I21" i="2"/>
  <c r="I47" i="5" s="1"/>
  <c r="H23" i="5"/>
  <c r="H9" i="2"/>
  <c r="H26" i="2"/>
  <c r="H19" i="1"/>
  <c r="H20" i="1" s="1"/>
  <c r="I31" i="2"/>
  <c r="I32" i="5" s="1"/>
  <c r="I16" i="2"/>
  <c r="I42" i="5" s="1"/>
  <c r="I11" i="2"/>
  <c r="I25" i="5" s="1"/>
  <c r="I10" i="2"/>
  <c r="I24" i="5" s="1"/>
  <c r="D11" i="3"/>
  <c r="I32" i="2"/>
  <c r="I33" i="5" s="1"/>
  <c r="I104" i="2"/>
  <c r="I52" i="5" s="1"/>
  <c r="I14" i="1"/>
  <c r="I7" i="2"/>
  <c r="I21" i="5" s="1"/>
  <c r="I5" i="2"/>
  <c r="E638" i="6" s="1"/>
  <c r="H48" i="5"/>
  <c r="H58" i="5" s="1"/>
  <c r="F362" i="6"/>
  <c r="F372" i="6"/>
  <c r="F536" i="6"/>
  <c r="F537" i="6" s="1"/>
  <c r="F256" i="6"/>
  <c r="F257" i="6" s="1"/>
  <c r="F176" i="6"/>
  <c r="F177" i="6" s="1"/>
  <c r="G121" i="6"/>
  <c r="G122" i="6" s="1"/>
  <c r="G131" i="6"/>
  <c r="G132" i="6" s="1"/>
  <c r="H619" i="6"/>
  <c r="G622" i="6"/>
  <c r="K98" i="2" s="1"/>
  <c r="H609" i="6"/>
  <c r="G612" i="6"/>
  <c r="K97" i="2" s="1"/>
  <c r="G602" i="6"/>
  <c r="K96" i="2" s="1"/>
  <c r="H599" i="6"/>
  <c r="G592" i="6"/>
  <c r="K95" i="2" s="1"/>
  <c r="H589" i="6"/>
  <c r="G569" i="6"/>
  <c r="F572" i="6"/>
  <c r="H549" i="6"/>
  <c r="G552" i="6"/>
  <c r="K91" i="2" s="1"/>
  <c r="H539" i="6"/>
  <c r="G542" i="6"/>
  <c r="K90" i="2" s="1"/>
  <c r="G532" i="6"/>
  <c r="K89" i="2" s="1"/>
  <c r="H529" i="6"/>
  <c r="H519" i="6"/>
  <c r="G522" i="6"/>
  <c r="K88" i="2" s="1"/>
  <c r="H509" i="6"/>
  <c r="G512" i="6"/>
  <c r="K87" i="2" s="1"/>
  <c r="H499" i="6"/>
  <c r="G502" i="6"/>
  <c r="K86" i="2" s="1"/>
  <c r="G472" i="6"/>
  <c r="K83" i="2" s="1"/>
  <c r="H469" i="6"/>
  <c r="G462" i="6"/>
  <c r="K82" i="2" s="1"/>
  <c r="H459" i="6"/>
  <c r="H449" i="6"/>
  <c r="G452" i="6"/>
  <c r="K81" i="2" s="1"/>
  <c r="H439" i="6"/>
  <c r="G442" i="6"/>
  <c r="K80" i="2" s="1"/>
  <c r="G432" i="6"/>
  <c r="K79" i="2" s="1"/>
  <c r="H429" i="6"/>
  <c r="G422" i="6"/>
  <c r="K78" i="2" s="1"/>
  <c r="H419" i="6"/>
  <c r="H389" i="6"/>
  <c r="G392" i="6"/>
  <c r="K75" i="2" s="1"/>
  <c r="G382" i="6"/>
  <c r="K74" i="2" s="1"/>
  <c r="H379" i="6"/>
  <c r="H369" i="6"/>
  <c r="G372" i="6"/>
  <c r="K73" i="2" s="1"/>
  <c r="G362" i="6"/>
  <c r="K72" i="2" s="1"/>
  <c r="H359" i="6"/>
  <c r="G352" i="6"/>
  <c r="K71" i="2" s="1"/>
  <c r="H349" i="6"/>
  <c r="H339" i="6"/>
  <c r="G342" i="6"/>
  <c r="K70" i="2" s="1"/>
  <c r="G332" i="6"/>
  <c r="K69" i="2" s="1"/>
  <c r="H329" i="6"/>
  <c r="G322" i="6"/>
  <c r="K68" i="2" s="1"/>
  <c r="H319" i="6"/>
  <c r="H309" i="6"/>
  <c r="G312" i="6"/>
  <c r="K67" i="2" s="1"/>
  <c r="G302" i="6"/>
  <c r="K66" i="2" s="1"/>
  <c r="H299" i="6"/>
  <c r="H289" i="6"/>
  <c r="G292" i="6"/>
  <c r="K65" i="2" s="1"/>
  <c r="G282" i="6"/>
  <c r="K64" i="2" s="1"/>
  <c r="H279" i="6"/>
  <c r="G272" i="6"/>
  <c r="K63" i="2" s="1"/>
  <c r="H269" i="6"/>
  <c r="G262" i="6"/>
  <c r="K62" i="2" s="1"/>
  <c r="H259" i="6"/>
  <c r="H249" i="6"/>
  <c r="G252" i="6"/>
  <c r="K61" i="2" s="1"/>
  <c r="H219" i="6"/>
  <c r="G222" i="6"/>
  <c r="K58" i="2" s="1"/>
  <c r="G212" i="6"/>
  <c r="K57" i="2" s="1"/>
  <c r="H209" i="6"/>
  <c r="G202" i="6"/>
  <c r="K56" i="2" s="1"/>
  <c r="G181" i="6"/>
  <c r="G182" i="6" s="1"/>
  <c r="G171" i="6"/>
  <c r="G172" i="6" s="1"/>
  <c r="G161" i="6"/>
  <c r="G162" i="6" s="1"/>
  <c r="G151" i="6"/>
  <c r="G152" i="6" s="1"/>
  <c r="G141" i="6"/>
  <c r="G142" i="6" s="1"/>
  <c r="F48" i="3" l="1"/>
  <c r="E634" i="6"/>
  <c r="E636" i="6" s="1"/>
  <c r="D9" i="7"/>
  <c r="C12" i="7"/>
  <c r="D12" i="7" s="1"/>
  <c r="C31" i="8" s="1"/>
  <c r="D31" i="8" s="1"/>
  <c r="J94" i="2"/>
  <c r="F74" i="3" s="1"/>
  <c r="F586" i="6"/>
  <c r="F587" i="6" s="1"/>
  <c r="F630" i="6"/>
  <c r="F631" i="6" s="1"/>
  <c r="G582" i="6"/>
  <c r="H579" i="6"/>
  <c r="G402" i="6"/>
  <c r="H399" i="6"/>
  <c r="F406" i="6"/>
  <c r="F407" i="6" s="1"/>
  <c r="J76" i="2"/>
  <c r="F56" i="3" s="1"/>
  <c r="G492" i="6"/>
  <c r="H489" i="6"/>
  <c r="F496" i="6"/>
  <c r="F497" i="6" s="1"/>
  <c r="J85" i="2"/>
  <c r="F65" i="3" s="1"/>
  <c r="H409" i="6"/>
  <c r="G412" i="6"/>
  <c r="F416" i="6"/>
  <c r="F417" i="6" s="1"/>
  <c r="J77" i="2"/>
  <c r="F57" i="3" s="1"/>
  <c r="J59" i="2"/>
  <c r="F39" i="3" s="1"/>
  <c r="F236" i="6"/>
  <c r="F237" i="6" s="1"/>
  <c r="H229" i="6"/>
  <c r="G232" i="6"/>
  <c r="H479" i="6"/>
  <c r="G482" i="6"/>
  <c r="T25" i="8"/>
  <c r="U25" i="8"/>
  <c r="J46" i="2"/>
  <c r="F106" i="6"/>
  <c r="F107" i="6" s="1"/>
  <c r="J55" i="2"/>
  <c r="F35" i="3" s="1"/>
  <c r="F196" i="6"/>
  <c r="F197" i="6" s="1"/>
  <c r="J60" i="2"/>
  <c r="F40" i="3" s="1"/>
  <c r="F246" i="6"/>
  <c r="F247" i="6" s="1"/>
  <c r="J92" i="2"/>
  <c r="F72" i="3" s="1"/>
  <c r="F566" i="6"/>
  <c r="F567" i="6" s="1"/>
  <c r="J84" i="2"/>
  <c r="F64" i="3" s="1"/>
  <c r="F486" i="6"/>
  <c r="F487" i="6" s="1"/>
  <c r="F32" i="3"/>
  <c r="E32" i="3"/>
  <c r="F69" i="3"/>
  <c r="E69" i="3"/>
  <c r="F33" i="3"/>
  <c r="E33" i="3"/>
  <c r="F41" i="3"/>
  <c r="E41" i="3"/>
  <c r="G20" i="3"/>
  <c r="F20" i="3"/>
  <c r="G25" i="3"/>
  <c r="F25" i="3"/>
  <c r="G24" i="3"/>
  <c r="F24" i="3"/>
  <c r="G23" i="3"/>
  <c r="F23" i="3"/>
  <c r="G22" i="3"/>
  <c r="F22" i="3"/>
  <c r="E84" i="3"/>
  <c r="K55" i="2"/>
  <c r="G196" i="6"/>
  <c r="G197" i="6" s="1"/>
  <c r="G242" i="6"/>
  <c r="K60" i="2" s="1"/>
  <c r="H239" i="6"/>
  <c r="G562" i="6"/>
  <c r="K92" i="2" s="1"/>
  <c r="H559" i="6"/>
  <c r="F366" i="6"/>
  <c r="F367" i="6" s="1"/>
  <c r="J72" i="2"/>
  <c r="F376" i="6"/>
  <c r="F377" i="6" s="1"/>
  <c r="J73" i="2"/>
  <c r="F53" i="3" s="1"/>
  <c r="G126" i="6"/>
  <c r="G127" i="6" s="1"/>
  <c r="K48" i="2"/>
  <c r="G136" i="6"/>
  <c r="G137" i="6" s="1"/>
  <c r="K49" i="2"/>
  <c r="H78" i="3"/>
  <c r="G78" i="3"/>
  <c r="H77" i="3"/>
  <c r="G77" i="3"/>
  <c r="H76" i="3"/>
  <c r="G76" i="3"/>
  <c r="H75" i="3"/>
  <c r="G75" i="3"/>
  <c r="F576" i="6"/>
  <c r="F577" i="6" s="1"/>
  <c r="J93" i="2"/>
  <c r="F73" i="3" s="1"/>
  <c r="H71" i="3"/>
  <c r="G71" i="3"/>
  <c r="H70" i="3"/>
  <c r="G70" i="3"/>
  <c r="H69" i="3"/>
  <c r="G69" i="3"/>
  <c r="H68" i="3"/>
  <c r="G68" i="3"/>
  <c r="H67" i="3"/>
  <c r="G67" i="3"/>
  <c r="H66" i="3"/>
  <c r="G66" i="3"/>
  <c r="H63" i="3"/>
  <c r="G63" i="3"/>
  <c r="H62" i="3"/>
  <c r="G62" i="3"/>
  <c r="H61" i="3"/>
  <c r="G61" i="3"/>
  <c r="H60" i="3"/>
  <c r="G60" i="3"/>
  <c r="H59" i="3"/>
  <c r="G59" i="3"/>
  <c r="H58" i="3"/>
  <c r="G58" i="3"/>
  <c r="H55" i="3"/>
  <c r="G55" i="3"/>
  <c r="H54" i="3"/>
  <c r="G54" i="3"/>
  <c r="H53" i="3"/>
  <c r="G53" i="3"/>
  <c r="H52" i="3"/>
  <c r="H51" i="3"/>
  <c r="G51" i="3"/>
  <c r="H50" i="3"/>
  <c r="G50" i="3"/>
  <c r="H49" i="3"/>
  <c r="G49" i="3"/>
  <c r="H48" i="3"/>
  <c r="G48" i="3"/>
  <c r="H47" i="3"/>
  <c r="G47" i="3"/>
  <c r="H46" i="3"/>
  <c r="G46" i="3"/>
  <c r="H45" i="3"/>
  <c r="G45" i="3"/>
  <c r="H44" i="3"/>
  <c r="G44" i="3"/>
  <c r="H43" i="3"/>
  <c r="G43" i="3"/>
  <c r="H42" i="3"/>
  <c r="G42" i="3"/>
  <c r="H41" i="3"/>
  <c r="G41" i="3"/>
  <c r="H38" i="3"/>
  <c r="G38" i="3"/>
  <c r="H37" i="3"/>
  <c r="G37" i="3"/>
  <c r="H36" i="3"/>
  <c r="G36" i="3"/>
  <c r="G186" i="6"/>
  <c r="G187" i="6" s="1"/>
  <c r="K54" i="2"/>
  <c r="G176" i="6"/>
  <c r="G177" i="6" s="1"/>
  <c r="K53" i="2"/>
  <c r="G166" i="6"/>
  <c r="G167" i="6" s="1"/>
  <c r="K52" i="2"/>
  <c r="G156" i="6"/>
  <c r="G157" i="6" s="1"/>
  <c r="K51" i="2"/>
  <c r="G146" i="6"/>
  <c r="G147" i="6" s="1"/>
  <c r="K50" i="2"/>
  <c r="J106" i="2"/>
  <c r="J54" i="5" s="1"/>
  <c r="G10" i="5"/>
  <c r="H6" i="5" s="1"/>
  <c r="J14" i="1"/>
  <c r="J16" i="2"/>
  <c r="J42" i="5" s="1"/>
  <c r="J18" i="1"/>
  <c r="J16" i="5" s="1"/>
  <c r="F6" i="3" s="1"/>
  <c r="D5" i="11"/>
  <c r="D7" i="11" s="1"/>
  <c r="D9" i="11" s="1"/>
  <c r="J19" i="2"/>
  <c r="J45" i="5" s="1"/>
  <c r="J31" i="2"/>
  <c r="J32" i="5" s="1"/>
  <c r="H17" i="5"/>
  <c r="I14" i="5" s="1"/>
  <c r="I16" i="5"/>
  <c r="E6" i="3" s="1"/>
  <c r="E10" i="11"/>
  <c r="F11" i="3"/>
  <c r="F12" i="11"/>
  <c r="E11" i="3"/>
  <c r="E12" i="11"/>
  <c r="I55" i="5"/>
  <c r="I59" i="5" s="1"/>
  <c r="E14" i="11" s="1"/>
  <c r="H60" i="5"/>
  <c r="D12" i="3" s="1"/>
  <c r="D13" i="3" s="1"/>
  <c r="J105" i="2"/>
  <c r="J53" i="5" s="1"/>
  <c r="J15" i="1"/>
  <c r="J29" i="2"/>
  <c r="J30" i="5" s="1"/>
  <c r="J13" i="1"/>
  <c r="J103" i="2"/>
  <c r="J51" i="5" s="1"/>
  <c r="J5" i="2"/>
  <c r="J30" i="2"/>
  <c r="J31" i="5" s="1"/>
  <c r="J15" i="2"/>
  <c r="J41" i="5" s="1"/>
  <c r="J21" i="2"/>
  <c r="J47" i="5" s="1"/>
  <c r="J22" i="1"/>
  <c r="K11" i="1"/>
  <c r="K15" i="5" s="1"/>
  <c r="J11" i="2"/>
  <c r="J25" i="5" s="1"/>
  <c r="J102" i="2"/>
  <c r="J50" i="5" s="1"/>
  <c r="I48" i="5"/>
  <c r="I58" i="5" s="1"/>
  <c r="E13" i="11" s="1"/>
  <c r="J7" i="2"/>
  <c r="J21" i="5" s="1"/>
  <c r="J32" i="2"/>
  <c r="J33" i="5" s="1"/>
  <c r="J104" i="2"/>
  <c r="J52" i="5" s="1"/>
  <c r="H26" i="5"/>
  <c r="H36" i="5" s="1"/>
  <c r="J20" i="2"/>
  <c r="J46" i="5" s="1"/>
  <c r="J10" i="2"/>
  <c r="J24" i="5" s="1"/>
  <c r="E95" i="3"/>
  <c r="I25" i="2" s="1"/>
  <c r="E5" i="6" s="1"/>
  <c r="I23" i="5"/>
  <c r="I26" i="5" s="1"/>
  <c r="I9" i="2"/>
  <c r="I26" i="2"/>
  <c r="I108" i="2"/>
  <c r="I19" i="1"/>
  <c r="I20" i="1" s="1"/>
  <c r="H29" i="5"/>
  <c r="H34" i="5" s="1"/>
  <c r="H37" i="5" s="1"/>
  <c r="H33" i="2"/>
  <c r="G206" i="6"/>
  <c r="G207" i="6" s="1"/>
  <c r="H201" i="6"/>
  <c r="H206" i="6"/>
  <c r="H207" i="6" s="1"/>
  <c r="G626" i="6"/>
  <c r="G627" i="6" s="1"/>
  <c r="H626" i="6"/>
  <c r="H627" i="6" s="1"/>
  <c r="G616" i="6"/>
  <c r="G617" i="6" s="1"/>
  <c r="H616" i="6"/>
  <c r="H617" i="6" s="1"/>
  <c r="G606" i="6"/>
  <c r="G607" i="6" s="1"/>
  <c r="H606" i="6"/>
  <c r="H607" i="6" s="1"/>
  <c r="G596" i="6"/>
  <c r="G597" i="6" s="1"/>
  <c r="H596" i="6"/>
  <c r="H597" i="6" s="1"/>
  <c r="H569" i="6"/>
  <c r="G572" i="6"/>
  <c r="G566" i="6"/>
  <c r="G567" i="6" s="1"/>
  <c r="H566" i="6"/>
  <c r="H567" i="6" s="1"/>
  <c r="G556" i="6"/>
  <c r="G557" i="6" s="1"/>
  <c r="H556" i="6"/>
  <c r="H557" i="6" s="1"/>
  <c r="G546" i="6"/>
  <c r="G547" i="6" s="1"/>
  <c r="H546" i="6"/>
  <c r="H547" i="6" s="1"/>
  <c r="G536" i="6"/>
  <c r="G537" i="6" s="1"/>
  <c r="H536" i="6"/>
  <c r="H537" i="6" s="1"/>
  <c r="G526" i="6"/>
  <c r="G527" i="6" s="1"/>
  <c r="H526" i="6"/>
  <c r="H527" i="6" s="1"/>
  <c r="H516" i="6"/>
  <c r="H517" i="6" s="1"/>
  <c r="G516" i="6"/>
  <c r="G517" i="6" s="1"/>
  <c r="G506" i="6"/>
  <c r="G507" i="6" s="1"/>
  <c r="H506" i="6"/>
  <c r="H507" i="6" s="1"/>
  <c r="G476" i="6"/>
  <c r="G477" i="6" s="1"/>
  <c r="H476" i="6"/>
  <c r="H477" i="6" s="1"/>
  <c r="G466" i="6"/>
  <c r="G467" i="6" s="1"/>
  <c r="H466" i="6"/>
  <c r="H467" i="6" s="1"/>
  <c r="G456" i="6"/>
  <c r="G457" i="6" s="1"/>
  <c r="H456" i="6"/>
  <c r="H457" i="6" s="1"/>
  <c r="G446" i="6"/>
  <c r="G447" i="6" s="1"/>
  <c r="H446" i="6"/>
  <c r="H447" i="6" s="1"/>
  <c r="G436" i="6"/>
  <c r="G437" i="6" s="1"/>
  <c r="H436" i="6"/>
  <c r="H437" i="6" s="1"/>
  <c r="G426" i="6"/>
  <c r="G427" i="6" s="1"/>
  <c r="H426" i="6"/>
  <c r="H427" i="6" s="1"/>
  <c r="G396" i="6"/>
  <c r="G397" i="6" s="1"/>
  <c r="H396" i="6"/>
  <c r="H397" i="6" s="1"/>
  <c r="G386" i="6"/>
  <c r="G387" i="6" s="1"/>
  <c r="H386" i="6"/>
  <c r="H387" i="6" s="1"/>
  <c r="G376" i="6"/>
  <c r="G377" i="6" s="1"/>
  <c r="H376" i="6"/>
  <c r="H377" i="6" s="1"/>
  <c r="G366" i="6"/>
  <c r="G367" i="6" s="1"/>
  <c r="H366" i="6"/>
  <c r="H367" i="6" s="1"/>
  <c r="G356" i="6"/>
  <c r="G357" i="6" s="1"/>
  <c r="H356" i="6"/>
  <c r="H357" i="6" s="1"/>
  <c r="G346" i="6"/>
  <c r="G347" i="6" s="1"/>
  <c r="H346" i="6"/>
  <c r="H347" i="6" s="1"/>
  <c r="G336" i="6"/>
  <c r="G337" i="6" s="1"/>
  <c r="H336" i="6"/>
  <c r="H337" i="6" s="1"/>
  <c r="G326" i="6"/>
  <c r="G327" i="6" s="1"/>
  <c r="H326" i="6"/>
  <c r="H327" i="6" s="1"/>
  <c r="G316" i="6"/>
  <c r="G317" i="6" s="1"/>
  <c r="H316" i="6"/>
  <c r="H317" i="6" s="1"/>
  <c r="G306" i="6"/>
  <c r="G307" i="6" s="1"/>
  <c r="H306" i="6"/>
  <c r="H307" i="6" s="1"/>
  <c r="G296" i="6"/>
  <c r="G297" i="6" s="1"/>
  <c r="H296" i="6"/>
  <c r="H297" i="6" s="1"/>
  <c r="G286" i="6"/>
  <c r="G287" i="6" s="1"/>
  <c r="H286" i="6"/>
  <c r="H287" i="6" s="1"/>
  <c r="G276" i="6"/>
  <c r="G277" i="6" s="1"/>
  <c r="H276" i="6"/>
  <c r="H277" i="6" s="1"/>
  <c r="G266" i="6"/>
  <c r="G267" i="6" s="1"/>
  <c r="H266" i="6"/>
  <c r="H267" i="6" s="1"/>
  <c r="G256" i="6"/>
  <c r="G257" i="6" s="1"/>
  <c r="H256" i="6"/>
  <c r="H257" i="6" s="1"/>
  <c r="G246" i="6"/>
  <c r="G247" i="6" s="1"/>
  <c r="H246" i="6"/>
  <c r="H247" i="6" s="1"/>
  <c r="G226" i="6"/>
  <c r="G227" i="6" s="1"/>
  <c r="H226" i="6"/>
  <c r="H227" i="6" s="1"/>
  <c r="H211" i="6"/>
  <c r="G216" i="6"/>
  <c r="G217" i="6" s="1"/>
  <c r="H216" i="6"/>
  <c r="H217" i="6" s="1"/>
  <c r="V31" i="8" l="1"/>
  <c r="T31" i="8"/>
  <c r="U31" i="8"/>
  <c r="C22" i="8"/>
  <c r="D22" i="8" s="1"/>
  <c r="K15" i="11"/>
  <c r="F634" i="6"/>
  <c r="F636" i="6" s="1"/>
  <c r="K94" i="2"/>
  <c r="H586" i="6"/>
  <c r="H587" i="6" s="1"/>
  <c r="G586" i="6"/>
  <c r="G587" i="6" s="1"/>
  <c r="K76" i="2"/>
  <c r="G406" i="6"/>
  <c r="G407" i="6" s="1"/>
  <c r="H406" i="6"/>
  <c r="H407" i="6" s="1"/>
  <c r="K85" i="2"/>
  <c r="G496" i="6"/>
  <c r="G497" i="6" s="1"/>
  <c r="H496" i="6"/>
  <c r="H497" i="6" s="1"/>
  <c r="K77" i="2"/>
  <c r="H416" i="6"/>
  <c r="H417" i="6" s="1"/>
  <c r="G416" i="6"/>
  <c r="G417" i="6" s="1"/>
  <c r="K59" i="2"/>
  <c r="H236" i="6"/>
  <c r="H237" i="6" s="1"/>
  <c r="G236" i="6"/>
  <c r="G237" i="6" s="1"/>
  <c r="K84" i="2"/>
  <c r="H486" i="6"/>
  <c r="H487" i="6" s="1"/>
  <c r="G486" i="6"/>
  <c r="G487" i="6" s="1"/>
  <c r="F52" i="3"/>
  <c r="G52" i="3"/>
  <c r="G26" i="3"/>
  <c r="F26" i="3"/>
  <c r="F84" i="3" s="1"/>
  <c r="H35" i="3"/>
  <c r="G35" i="3"/>
  <c r="H40" i="3"/>
  <c r="G40" i="3"/>
  <c r="H72" i="3"/>
  <c r="G72" i="3"/>
  <c r="H28" i="3"/>
  <c r="G28" i="3"/>
  <c r="H29" i="3"/>
  <c r="G29" i="3"/>
  <c r="H34" i="3"/>
  <c r="G34" i="3"/>
  <c r="H33" i="3"/>
  <c r="G33" i="3"/>
  <c r="H32" i="3"/>
  <c r="G32" i="3"/>
  <c r="H31" i="3"/>
  <c r="G31" i="3"/>
  <c r="H30" i="3"/>
  <c r="G30" i="3"/>
  <c r="G630" i="6"/>
  <c r="G631" i="6" s="1"/>
  <c r="K93" i="2"/>
  <c r="J9" i="2"/>
  <c r="F10" i="11"/>
  <c r="K103" i="2"/>
  <c r="K51" i="5" s="1"/>
  <c r="I17" i="5"/>
  <c r="J14" i="5" s="1"/>
  <c r="J17" i="5" s="1"/>
  <c r="E5" i="11"/>
  <c r="E7" i="11" s="1"/>
  <c r="E9" i="11" s="1"/>
  <c r="H14" i="2"/>
  <c r="G11" i="3"/>
  <c r="G12" i="11"/>
  <c r="J19" i="1"/>
  <c r="J20" i="1" s="1"/>
  <c r="F5" i="11" s="1"/>
  <c r="F7" i="11" s="1"/>
  <c r="F9" i="11" s="1"/>
  <c r="J26" i="2"/>
  <c r="J29" i="5" s="1"/>
  <c r="J34" i="5" s="1"/>
  <c r="J23" i="5"/>
  <c r="J26" i="5" s="1"/>
  <c r="J36" i="5" s="1"/>
  <c r="I60" i="5"/>
  <c r="E12" i="3" s="1"/>
  <c r="E13" i="3" s="1"/>
  <c r="K30" i="2"/>
  <c r="K31" i="5" s="1"/>
  <c r="K29" i="2"/>
  <c r="K30" i="5" s="1"/>
  <c r="K15" i="1"/>
  <c r="K16" i="2"/>
  <c r="K42" i="5" s="1"/>
  <c r="K22" i="1"/>
  <c r="K14" i="1"/>
  <c r="K31" i="2"/>
  <c r="K32" i="5" s="1"/>
  <c r="F638" i="6"/>
  <c r="K13" i="1"/>
  <c r="K19" i="2"/>
  <c r="K45" i="5" s="1"/>
  <c r="K106" i="2"/>
  <c r="K54" i="5" s="1"/>
  <c r="K15" i="2"/>
  <c r="K41" i="5" s="1"/>
  <c r="K21" i="2"/>
  <c r="K47" i="5" s="1"/>
  <c r="K32" i="2"/>
  <c r="K33" i="5" s="1"/>
  <c r="K10" i="2"/>
  <c r="K24" i="5" s="1"/>
  <c r="K11" i="2"/>
  <c r="K25" i="5" s="1"/>
  <c r="K5" i="2"/>
  <c r="J55" i="5"/>
  <c r="J59" i="5" s="1"/>
  <c r="F14" i="11" s="1"/>
  <c r="K104" i="2"/>
  <c r="K52" i="5" s="1"/>
  <c r="L11" i="1"/>
  <c r="L104" i="2" s="1"/>
  <c r="L52" i="5" s="1"/>
  <c r="K20" i="2"/>
  <c r="K46" i="5" s="1"/>
  <c r="K105" i="2"/>
  <c r="K53" i="5" s="1"/>
  <c r="K102" i="2"/>
  <c r="K50" i="5" s="1"/>
  <c r="I36" i="5"/>
  <c r="K7" i="2"/>
  <c r="K21" i="5" s="1"/>
  <c r="H38" i="5"/>
  <c r="K18" i="1"/>
  <c r="G10" i="11" s="1"/>
  <c r="J108" i="2"/>
  <c r="J48" i="5"/>
  <c r="J58" i="5" s="1"/>
  <c r="F13" i="11" s="1"/>
  <c r="I29" i="5"/>
  <c r="I34" i="5" s="1"/>
  <c r="I37" i="5" s="1"/>
  <c r="I33" i="2"/>
  <c r="G576" i="6"/>
  <c r="G577" i="6" s="1"/>
  <c r="H576" i="6"/>
  <c r="H577" i="6" s="1"/>
  <c r="U22" i="8" l="1"/>
  <c r="K17" i="11" s="1"/>
  <c r="K19" i="11" s="1"/>
  <c r="H22" i="11" s="1"/>
  <c r="T22" i="8"/>
  <c r="V22" i="8"/>
  <c r="G634" i="6"/>
  <c r="G636" i="6" s="1"/>
  <c r="H634" i="6"/>
  <c r="H636" i="6" s="1"/>
  <c r="G74" i="3"/>
  <c r="H74" i="3"/>
  <c r="G56" i="3"/>
  <c r="H56" i="3"/>
  <c r="G65" i="3"/>
  <c r="H65" i="3"/>
  <c r="G57" i="3"/>
  <c r="H57" i="3"/>
  <c r="H39" i="3"/>
  <c r="G39" i="3"/>
  <c r="H64" i="3"/>
  <c r="G64" i="3"/>
  <c r="H73" i="3"/>
  <c r="G73" i="3"/>
  <c r="L32" i="2"/>
  <c r="L33" i="5" s="1"/>
  <c r="I14" i="2"/>
  <c r="L16" i="2"/>
  <c r="L42" i="5" s="1"/>
  <c r="L29" i="2"/>
  <c r="L30" i="5" s="1"/>
  <c r="K9" i="2"/>
  <c r="L103" i="2"/>
  <c r="L51" i="5" s="1"/>
  <c r="K14" i="5"/>
  <c r="J14" i="2"/>
  <c r="D7" i="3"/>
  <c r="D15" i="11"/>
  <c r="D20" i="11" s="1"/>
  <c r="J33" i="2"/>
  <c r="L15" i="2"/>
  <c r="L41" i="5" s="1"/>
  <c r="K19" i="1"/>
  <c r="K20" i="1" s="1"/>
  <c r="L14" i="1"/>
  <c r="L11" i="2"/>
  <c r="L25" i="5" s="1"/>
  <c r="J60" i="5"/>
  <c r="F12" i="3" s="1"/>
  <c r="F13" i="3" s="1"/>
  <c r="F95" i="3"/>
  <c r="J25" i="2" s="1"/>
  <c r="F5" i="6" s="1"/>
  <c r="L102" i="2"/>
  <c r="L50" i="5" s="1"/>
  <c r="K48" i="5"/>
  <c r="K58" i="5" s="1"/>
  <c r="G13" i="11" s="1"/>
  <c r="L19" i="2"/>
  <c r="L45" i="5" s="1"/>
  <c r="L13" i="1"/>
  <c r="L21" i="2"/>
  <c r="L47" i="5" s="1"/>
  <c r="K26" i="2"/>
  <c r="K29" i="5" s="1"/>
  <c r="K34" i="5" s="1"/>
  <c r="K37" i="5" s="1"/>
  <c r="L105" i="2"/>
  <c r="L53" i="5" s="1"/>
  <c r="G638" i="6"/>
  <c r="G95" i="3" s="1"/>
  <c r="K25" i="2" s="1"/>
  <c r="G5" i="6" s="1"/>
  <c r="K55" i="5"/>
  <c r="K59" i="5" s="1"/>
  <c r="G14" i="11" s="1"/>
  <c r="K23" i="5"/>
  <c r="K26" i="5" s="1"/>
  <c r="K36" i="5" s="1"/>
  <c r="K108" i="2"/>
  <c r="L15" i="5"/>
  <c r="L22" i="1"/>
  <c r="L15" i="1"/>
  <c r="L10" i="2"/>
  <c r="L24" i="5" s="1"/>
  <c r="L106" i="2"/>
  <c r="L54" i="5" s="1"/>
  <c r="L31" i="2"/>
  <c r="L32" i="5" s="1"/>
  <c r="L18" i="1"/>
  <c r="L7" i="2"/>
  <c r="L21" i="5" s="1"/>
  <c r="L20" i="2"/>
  <c r="L46" i="5" s="1"/>
  <c r="L5" i="2"/>
  <c r="L30" i="2"/>
  <c r="L31" i="5" s="1"/>
  <c r="I38" i="5"/>
  <c r="K16" i="5"/>
  <c r="G6" i="3" s="1"/>
  <c r="J37" i="5"/>
  <c r="J38" i="5" s="1"/>
  <c r="C26" i="11" l="1"/>
  <c r="C29" i="11" s="1"/>
  <c r="C31" i="11" s="1"/>
  <c r="C33" i="11" s="1"/>
  <c r="H84" i="3"/>
  <c r="G84" i="3"/>
  <c r="G5" i="11"/>
  <c r="G7" i="11" s="1"/>
  <c r="G9" i="11" s="1"/>
  <c r="L16" i="5"/>
  <c r="H6" i="3" s="1"/>
  <c r="H10" i="11"/>
  <c r="L23" i="5"/>
  <c r="L26" i="5" s="1"/>
  <c r="L36" i="5" s="1"/>
  <c r="F7" i="3"/>
  <c r="F11" i="11"/>
  <c r="F15" i="11" s="1"/>
  <c r="F20" i="11" s="1"/>
  <c r="H11" i="3"/>
  <c r="H12" i="11"/>
  <c r="E7" i="3"/>
  <c r="E11" i="11"/>
  <c r="E15" i="11" s="1"/>
  <c r="E20" i="11" s="1"/>
  <c r="L26" i="2"/>
  <c r="L33" i="2" s="1"/>
  <c r="K33" i="2"/>
  <c r="K60" i="5"/>
  <c r="G12" i="3" s="1"/>
  <c r="G13" i="3" s="1"/>
  <c r="K38" i="5"/>
  <c r="L55" i="5"/>
  <c r="L59" i="5" s="1"/>
  <c r="H14" i="11" s="1"/>
  <c r="H638" i="6"/>
  <c r="H95" i="3" s="1"/>
  <c r="L25" i="2" s="1"/>
  <c r="H5" i="6" s="1"/>
  <c r="L9" i="2"/>
  <c r="L19" i="1"/>
  <c r="L20" i="1" s="1"/>
  <c r="L48" i="5"/>
  <c r="L58" i="5" s="1"/>
  <c r="H13" i="11" s="1"/>
  <c r="L108" i="2"/>
  <c r="K17" i="5"/>
  <c r="H5" i="11" l="1"/>
  <c r="H7" i="11" s="1"/>
  <c r="H9" i="11" s="1"/>
  <c r="L29" i="5"/>
  <c r="L34" i="5" s="1"/>
  <c r="L37" i="5" s="1"/>
  <c r="L38" i="5" s="1"/>
  <c r="L14" i="5"/>
  <c r="L17" i="5" s="1"/>
  <c r="L14" i="2" s="1"/>
  <c r="K14" i="2"/>
  <c r="G7" i="3"/>
  <c r="G11" i="11"/>
  <c r="L60" i="5"/>
  <c r="H12" i="3" s="1"/>
  <c r="H13" i="3" s="1"/>
  <c r="G15" i="11" l="1"/>
  <c r="H7" i="3"/>
  <c r="H11" i="11"/>
  <c r="F21" i="11" l="1"/>
  <c r="F22" i="11" s="1"/>
  <c r="D22" i="11"/>
  <c r="E21" i="11"/>
  <c r="E22" i="11" s="1"/>
  <c r="M14" i="11" l="1"/>
  <c r="H6" i="2" l="1"/>
  <c r="I6" i="2"/>
  <c r="J6" i="2"/>
  <c r="K6" i="2"/>
  <c r="L6" i="2"/>
  <c r="H12" i="2"/>
  <c r="I12" i="2"/>
  <c r="J12" i="2"/>
  <c r="K12" i="2"/>
  <c r="L12" i="2"/>
  <c r="H22" i="2"/>
  <c r="I22" i="2"/>
  <c r="J22" i="2"/>
  <c r="K22" i="2"/>
  <c r="L22" i="2"/>
  <c r="H115" i="2"/>
  <c r="I115" i="2"/>
  <c r="J115" i="2"/>
  <c r="K115" i="2"/>
  <c r="L115" i="2"/>
  <c r="H116" i="2"/>
  <c r="I116" i="2"/>
  <c r="J116" i="2"/>
  <c r="K116" i="2"/>
  <c r="L116" i="2"/>
  <c r="H117" i="2"/>
  <c r="I117" i="2"/>
  <c r="J117" i="2"/>
  <c r="K117" i="2"/>
  <c r="L117" i="2"/>
  <c r="H118" i="2"/>
  <c r="I118" i="2"/>
  <c r="J118" i="2"/>
  <c r="K118" i="2"/>
  <c r="L118" i="2"/>
  <c r="I6" i="5"/>
  <c r="J6" i="5"/>
  <c r="K6" i="5"/>
  <c r="L6" i="5"/>
  <c r="H7" i="5"/>
  <c r="I7" i="5"/>
  <c r="J7" i="5"/>
  <c r="K7" i="5"/>
  <c r="L7" i="5"/>
  <c r="H10" i="5"/>
  <c r="I10" i="5"/>
  <c r="J10" i="5"/>
  <c r="K10" i="5"/>
  <c r="L10" i="5"/>
  <c r="H11" i="5"/>
  <c r="I11" i="5"/>
  <c r="J11" i="5"/>
  <c r="K11" i="5"/>
  <c r="L11" i="5"/>
  <c r="D5" i="3" a="1"/>
  <c r="D5" i="3"/>
  <c r="D8" i="3"/>
  <c r="E8" i="3"/>
  <c r="F8" i="3"/>
  <c r="G8" i="3"/>
  <c r="H8" i="3"/>
  <c r="D88" i="3"/>
  <c r="E88" i="3"/>
  <c r="F88" i="3"/>
  <c r="G88" i="3"/>
  <c r="H88" i="3"/>
  <c r="E91" i="3"/>
  <c r="F91" i="3"/>
  <c r="G91" i="3"/>
  <c r="H91" i="3"/>
  <c r="D92" i="3"/>
  <c r="E92" i="3"/>
  <c r="F92" i="3"/>
  <c r="G92" i="3"/>
  <c r="H92" i="3"/>
  <c r="D93" i="3"/>
  <c r="E93" i="3"/>
  <c r="F93" i="3"/>
  <c r="G93" i="3"/>
  <c r="H93" i="3"/>
  <c r="D96" i="3"/>
  <c r="E96" i="3"/>
  <c r="F96" i="3"/>
  <c r="G96" i="3"/>
  <c r="H96" i="3"/>
  <c r="D639" i="6"/>
  <c r="E639" i="6"/>
  <c r="F639" i="6"/>
  <c r="G639" i="6"/>
  <c r="H639" i="6"/>
  <c r="D640" i="6"/>
  <c r="E640" i="6"/>
  <c r="F640" i="6"/>
  <c r="G640" i="6"/>
  <c r="H640" i="6"/>
  <c r="D644" i="6"/>
  <c r="E644" i="6"/>
  <c r="F644" i="6"/>
  <c r="G644" i="6"/>
  <c r="H644" i="6"/>
  <c r="D645" i="6"/>
  <c r="E645" i="6"/>
  <c r="F645" i="6"/>
  <c r="G645" i="6"/>
  <c r="H645" i="6"/>
  <c r="H21" i="1"/>
  <c r="I21" i="1"/>
  <c r="J21" i="1"/>
  <c r="K21" i="1"/>
  <c r="L21" i="1"/>
  <c r="H23" i="1"/>
  <c r="I23" i="1"/>
  <c r="J23" i="1"/>
  <c r="K23" i="1"/>
  <c r="L23" i="1"/>
  <c r="H24" i="1"/>
  <c r="I24" i="1"/>
  <c r="J24" i="1"/>
  <c r="K24" i="1"/>
  <c r="L24" i="1"/>
  <c r="H25" i="1"/>
  <c r="I25" i="1"/>
  <c r="J25" i="1"/>
  <c r="K25" i="1"/>
  <c r="L2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Chineme Oriaku</author>
  </authors>
  <commentList>
    <comment ref="C65" authorId="0" shapeId="0" xr:uid="{6C1E0FEA-224A-4161-B35E-23D66E1EB200}">
      <text>
        <r>
          <rPr>
            <b/>
            <sz val="9"/>
            <color indexed="81"/>
            <rFont val="Tahoma"/>
            <family val="2"/>
          </rPr>
          <t>Chineme Oriaku:</t>
        </r>
        <r>
          <rPr>
            <sz val="9"/>
            <color indexed="81"/>
            <rFont val="Tahoma"/>
            <family val="2"/>
          </rPr>
          <t xml:space="preserve">
Postpaid revenues are expected to continue growing due to significant customer growth driven by TMUS strategy to deepen account and customer relationships. Postpaid revenue previously made up 81% of TMUS total service revenue, however due to this surge in customer base, postpaid revenue can be expected to make up a greater portion of total service revenue, about 83%. Total Service revenue for 2026 is expected to be approximately 77 billion</t>
        </r>
      </text>
    </comment>
    <comment ref="D65" authorId="0" shapeId="0" xr:uid="{3E89B5AF-13B2-4609-B738-6CE96608FB53}">
      <text>
        <r>
          <rPr>
            <b/>
            <sz val="9"/>
            <color indexed="81"/>
            <rFont val="Tahoma"/>
            <family val="2"/>
          </rPr>
          <t>Chineme Oriaku:</t>
        </r>
        <r>
          <rPr>
            <sz val="9"/>
            <color indexed="81"/>
            <rFont val="Tahoma"/>
            <family val="2"/>
          </rPr>
          <t xml:space="preserve">
Total Service Revenue for 2027 is expected to be between 80.5-82 billion</t>
        </r>
      </text>
    </comment>
    <comment ref="C66" authorId="0" shapeId="0" xr:uid="{F1BF41D1-2CA1-4477-B21C-E2934646C565}">
      <text>
        <r>
          <rPr>
            <b/>
            <sz val="9"/>
            <color indexed="81"/>
            <rFont val="Tahoma"/>
            <family val="2"/>
          </rPr>
          <t>Chineme Oriaku:</t>
        </r>
        <r>
          <rPr>
            <sz val="9"/>
            <color indexed="81"/>
            <rFont val="Tahoma"/>
            <family val="2"/>
          </rPr>
          <t xml:space="preserve">
Prepaid revenue is not expected to grow significantly in following years as postpaid is TMUS main revenue stream. The surge in prepaid revenue in 2024 was due to TMUS acquisition of Ka'ena Corporation. Any revenue from previous prepaid customers of the corporation was then recognized as prepaid revenue of TMUS. Prepaid Revenue is expected to slightly decrease as postpaid revenue is gaining more traction for TMUS. </t>
        </r>
      </text>
    </comment>
    <comment ref="C67" authorId="0" shapeId="0" xr:uid="{8C5093FC-7A55-45C0-8355-81CB6FB285A1}">
      <text>
        <r>
          <rPr>
            <b/>
            <sz val="9"/>
            <color indexed="81"/>
            <rFont val="Tahoma"/>
            <family val="2"/>
          </rPr>
          <t>Chineme Oriaku:</t>
        </r>
        <r>
          <rPr>
            <sz val="9"/>
            <color indexed="81"/>
            <rFont val="Tahoma"/>
            <family val="2"/>
          </rPr>
          <t xml:space="preserve">
Wholesale revenues expected to remain relatively flat with a slight increase in 2026 and 2027 due to an increase in advertising revenue</t>
        </r>
      </text>
    </comment>
    <comment ref="E67" authorId="0" shapeId="0" xr:uid="{4086B62E-14D5-479A-9173-2867C49CF811}">
      <text>
        <r>
          <rPr>
            <b/>
            <sz val="9"/>
            <color indexed="81"/>
            <rFont val="Tahoma"/>
            <family val="2"/>
          </rPr>
          <t>Chineme Oriaku:</t>
        </r>
        <r>
          <rPr>
            <sz val="9"/>
            <color indexed="81"/>
            <rFont val="Tahoma"/>
            <family val="2"/>
          </rPr>
          <t xml:space="preserve">
Wholesale revenue expected to remain flat with little increase</t>
        </r>
      </text>
    </comment>
    <comment ref="C68" authorId="0" shapeId="0" xr:uid="{51A8E952-41FF-4B2C-AE3F-20EA71C0497C}">
      <text>
        <r>
          <rPr>
            <b/>
            <sz val="9"/>
            <color indexed="81"/>
            <rFont val="Tahoma"/>
            <family val="2"/>
          </rPr>
          <t>Chineme Oriaku:</t>
        </r>
        <r>
          <rPr>
            <sz val="9"/>
            <color indexed="81"/>
            <rFont val="Tahoma"/>
            <family val="2"/>
          </rPr>
          <t xml:space="preserve">
In the previous year, equipment revenue increase significantly due to higher revenue per device sold. TMUS customer base has also grown significant in previous years meaning more devices were sold. In the future, TMUS customer base is expected to continue growing meaning more devices being sold in addition to a higher number of liquidated devices, all contributing to increase equipment revenue </t>
        </r>
      </text>
    </comment>
    <comment ref="C69" authorId="0" shapeId="0" xr:uid="{2CFA2F28-8B1B-4E52-9555-B3C9DBA906EB}">
      <text>
        <r>
          <rPr>
            <b/>
            <sz val="9"/>
            <color indexed="81"/>
            <rFont val="Tahoma"/>
            <family val="2"/>
          </rPr>
          <t>Chineme Oriaku:</t>
        </r>
        <r>
          <rPr>
            <sz val="9"/>
            <color indexed="81"/>
            <rFont val="Tahoma"/>
            <family val="2"/>
          </rPr>
          <t xml:space="preserve">
Other Revenue was relatively flat in previous years and the company expects little to no growth in the future </t>
        </r>
      </text>
    </comment>
    <comment ref="C74" authorId="0" shapeId="0" xr:uid="{A089400B-4FD1-4E95-B3E7-578D65675527}">
      <text>
        <r>
          <rPr>
            <b/>
            <sz val="9"/>
            <color indexed="81"/>
            <rFont val="Tahoma"/>
            <family val="2"/>
          </rPr>
          <t>Chineme Oriaku:</t>
        </r>
        <r>
          <rPr>
            <sz val="9"/>
            <color indexed="81"/>
            <rFont val="Tahoma"/>
            <family val="2"/>
          </rPr>
          <t xml:space="preserve">
TMUS exceeded FY2025 expectations by about 0.5 percents and they even raised their guidance mid year due to strong performance with postpaid revenue. Given this track record, we are assuming that with a bull case, TMUS can exceed expectations byt 1.5-2%. </t>
        </r>
      </text>
    </comment>
    <comment ref="C75" authorId="0" shapeId="0" xr:uid="{9CCA2D2D-E0E3-436F-AA53-345859B559FA}">
      <text>
        <r>
          <rPr>
            <b/>
            <sz val="9"/>
            <color indexed="81"/>
            <rFont val="Tahoma"/>
            <family val="2"/>
          </rPr>
          <t>Chineme Oriaku:</t>
        </r>
        <r>
          <rPr>
            <sz val="9"/>
            <color indexed="81"/>
            <rFont val="Tahoma"/>
            <family val="2"/>
          </rPr>
          <t xml:space="preserve">
Prepaid Revenue is makes up the least of TMUS total servbice revenues. With a bull case, we are assuming that the postpaid revenue increase along with postpaid revenue</t>
        </r>
      </text>
    </comment>
    <comment ref="E75" authorId="0" shapeId="0" xr:uid="{04B3DCDA-F6A7-4969-9B27-7393B9595041}">
      <text>
        <r>
          <rPr>
            <b/>
            <sz val="9"/>
            <color indexed="81"/>
            <rFont val="Tahoma"/>
            <family val="2"/>
          </rPr>
          <t>Chineme Oriaku:</t>
        </r>
        <r>
          <rPr>
            <sz val="9"/>
            <color indexed="81"/>
            <rFont val="Tahoma"/>
            <family val="2"/>
          </rPr>
          <t xml:space="preserve">
Stays flat, little to no growth</t>
        </r>
      </text>
    </comment>
    <comment ref="C76" authorId="0" shapeId="0" xr:uid="{FE954494-C784-4AE7-88EA-2FA8C35234D7}">
      <text>
        <r>
          <rPr>
            <b/>
            <sz val="9"/>
            <color indexed="81"/>
            <rFont val="Tahoma"/>
            <family val="2"/>
          </rPr>
          <t>Chineme Oriaku:</t>
        </r>
        <r>
          <rPr>
            <sz val="9"/>
            <color indexed="81"/>
            <rFont val="Tahoma"/>
            <family val="2"/>
          </rPr>
          <t xml:space="preserve">
In 2025 investor commentary, it was noted that wholesale revenue was declining but that was being offset by advertising growth from Vistar and Blis acquisitions. We are assuming that that monetization from advertising turns around faster than expected and heavily offsets the decline of wholesaling revenue</t>
        </r>
      </text>
    </comment>
    <comment ref="E76" authorId="0" shapeId="0" xr:uid="{AEA88282-0898-4A2F-8208-54558A72C670}">
      <text>
        <r>
          <rPr>
            <b/>
            <sz val="9"/>
            <color indexed="81"/>
            <rFont val="Tahoma"/>
            <family val="2"/>
          </rPr>
          <t>Chineme Oriaku:</t>
        </r>
        <r>
          <rPr>
            <sz val="9"/>
            <color indexed="81"/>
            <rFont val="Tahoma"/>
            <family val="2"/>
          </rPr>
          <t xml:space="preserve">
Revenue from advertising tapers off and growth stabilizes</t>
        </r>
      </text>
    </comment>
    <comment ref="C77" authorId="0" shapeId="0" xr:uid="{15974DA8-0940-4FFF-871E-7B49DF033640}">
      <text>
        <r>
          <rPr>
            <b/>
            <sz val="9"/>
            <color indexed="81"/>
            <rFont val="Tahoma"/>
            <family val="2"/>
          </rPr>
          <t>Chineme Oriaku:</t>
        </r>
        <r>
          <rPr>
            <sz val="9"/>
            <color indexed="81"/>
            <rFont val="Tahoma"/>
            <family val="2"/>
          </rPr>
          <t xml:space="preserve">
Slight increase assuming the upgrade cycle of new customers will increase and result  in a higher number of liquidated devices, all contributing to increase equipment revenue </t>
        </r>
      </text>
    </comment>
    <comment ref="C78" authorId="0" shapeId="0" xr:uid="{68705450-4F9D-49A5-B96C-2FB2BB80EEE6}">
      <text>
        <r>
          <rPr>
            <b/>
            <sz val="9"/>
            <color indexed="81"/>
            <rFont val="Tahoma"/>
            <family val="2"/>
          </rPr>
          <t>Chineme Oriaku:</t>
        </r>
        <r>
          <rPr>
            <sz val="9"/>
            <color indexed="81"/>
            <rFont val="Tahoma"/>
            <family val="2"/>
          </rPr>
          <t xml:space="preserve">
Other Revenue was relatively flat in previous years and the company expects little to no growth in the future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Karishma Shah</author>
  </authors>
  <commentList>
    <comment ref="B424" authorId="0" shapeId="0" xr:uid="{4EFF106E-8660-4558-A3FB-7B88C98E0D0D}">
      <text>
        <r>
          <rPr>
            <sz val="11"/>
            <color theme="1"/>
            <rFont val="Calibri"/>
            <family val="2"/>
            <scheme val="minor"/>
          </rPr>
          <t>Karishma Shah:
Used Weighted Average for this debt tranche because, 10k stated "No interest was paid on the ECA Facility due November 2036 during the year ended December 31, 2025."     page 95, Feb 2026, 10k</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Chineme Oriaku</author>
    <author>Karishma Shah</author>
    <author>Eneias Olensky</author>
  </authors>
  <commentList>
    <comment ref="L6" authorId="0" shapeId="0" xr:uid="{54FB4C26-9741-4905-809F-98413CEE2A88}">
      <text>
        <r>
          <rPr>
            <b/>
            <sz val="9"/>
            <color rgb="FF000000"/>
            <rFont val="Tahoma"/>
            <family val="2"/>
          </rPr>
          <t>Chineme Oriaku:</t>
        </r>
        <r>
          <rPr>
            <sz val="9"/>
            <color rgb="FF000000"/>
            <rFont val="Tahoma"/>
            <family val="2"/>
          </rPr>
          <t xml:space="preserve">
</t>
        </r>
        <r>
          <rPr>
            <sz val="9"/>
            <color rgb="FF000000"/>
            <rFont val="Tahoma"/>
            <family val="2"/>
          </rPr>
          <t>According to investor reports, TMUS expect Postpaid service revenues to continue to grow, due to customer growth as they continuously deepen account relationships, including growth in broadband. Wholesale and other service revenues are expected to remain relatively flat, growing slightly from an increase in advertising revenues. Service revenues are expected to be approximately $77.0 billion in 2026 and service revenues make up 81% of TMUS total revenues</t>
        </r>
      </text>
    </comment>
    <comment ref="M6" authorId="0" shapeId="0" xr:uid="{6678FE5B-0412-4EE9-BFF4-67F8E14188FC}">
      <text>
        <r>
          <rPr>
            <b/>
            <sz val="9"/>
            <color indexed="81"/>
            <rFont val="Tahoma"/>
            <family val="2"/>
          </rPr>
          <t>Chineme Oriaku:</t>
        </r>
        <r>
          <rPr>
            <sz val="9"/>
            <color indexed="81"/>
            <rFont val="Tahoma"/>
            <family val="2"/>
          </rPr>
          <t xml:space="preserve">
According to investor reports, TMUS expect Postpaid service revenues to continue to grow, due to customer growth as they continuously deepen account relationships, including growth in broadband. Wholesale and other service revenues are expected to remain relatively flat, growing slightly from an increase in advertising revenues. Service revenues are expected to be approximately $80.5–$81.5 billion in 2027 and service revenues make up 81% of TMUS total revenues
</t>
        </r>
      </text>
    </comment>
    <comment ref="N6" authorId="0" shapeId="0" xr:uid="{74215670-7098-44C8-8935-0F25C4A889DE}">
      <text>
        <r>
          <rPr>
            <b/>
            <sz val="9"/>
            <color indexed="81"/>
            <rFont val="Tahoma"/>
            <family val="2"/>
          </rPr>
          <t>Chineme Oriaku:</t>
        </r>
        <r>
          <rPr>
            <sz val="9"/>
            <color indexed="81"/>
            <rFont val="Tahoma"/>
            <family val="2"/>
          </rPr>
          <t xml:space="preserve">
Staying somewhat consistent with 3 and 5 YR averages while also taking into consideration the pattern after the estimated increases in 2026 and 2027 </t>
        </r>
      </text>
    </comment>
    <comment ref="O6" authorId="0" shapeId="0" xr:uid="{F1EB4693-5CD4-4055-A37D-DA4F4C05A31B}">
      <text>
        <r>
          <rPr>
            <b/>
            <sz val="9"/>
            <color indexed="81"/>
            <rFont val="Tahoma"/>
            <family val="2"/>
          </rPr>
          <t>Chineme Oriaku:</t>
        </r>
        <r>
          <rPr>
            <sz val="9"/>
            <color indexed="81"/>
            <rFont val="Tahoma"/>
            <family val="2"/>
          </rPr>
          <t xml:space="preserve">
Staying somewhat consistent with 3 and 5 YR averages while also taking into consideration the pattern after the estimated increases in 2026 and 2027</t>
        </r>
      </text>
    </comment>
    <comment ref="P6" authorId="0" shapeId="0" xr:uid="{B6234B67-D360-436A-9B5B-83A2EFA5DC54}">
      <text>
        <r>
          <rPr>
            <b/>
            <sz val="9"/>
            <color indexed="81"/>
            <rFont val="Tahoma"/>
            <family val="2"/>
          </rPr>
          <t>Chineme Oriaku:</t>
        </r>
        <r>
          <rPr>
            <sz val="9"/>
            <color indexed="81"/>
            <rFont val="Tahoma"/>
            <family val="2"/>
          </rPr>
          <t xml:space="preserve">
Staying somewhat consistent with 3 and 5 YR averages while also taking into consideration the pattern after the estimated increases in 2026 and 2027</t>
        </r>
      </text>
    </comment>
    <comment ref="L7" authorId="0" shapeId="0" xr:uid="{914A9DA8-57B6-4C22-AF71-EDEDA0B8DC64}">
      <text>
        <r>
          <rPr>
            <b/>
            <sz val="9"/>
            <color indexed="81"/>
            <rFont val="Tahoma"/>
            <family val="2"/>
          </rPr>
          <t>Chineme Oriaku:</t>
        </r>
        <r>
          <rPr>
            <sz val="9"/>
            <color indexed="81"/>
            <rFont val="Tahoma"/>
            <family val="2"/>
          </rPr>
          <t xml:space="preserve">
According to TMUS 10k, cost of services is expected to increase significantly in 2026 and 2027 due to recent acquisition of Uscelluar</t>
        </r>
      </text>
    </comment>
    <comment ref="M7" authorId="0" shapeId="0" xr:uid="{23212498-0DFD-40F3-97FD-D5F4C9787AD1}">
      <text>
        <r>
          <rPr>
            <b/>
            <sz val="9"/>
            <color indexed="81"/>
            <rFont val="Tahoma"/>
            <family val="2"/>
          </rPr>
          <t>Chineme Oriaku:</t>
        </r>
        <r>
          <rPr>
            <sz val="9"/>
            <color indexed="81"/>
            <rFont val="Tahoma"/>
            <family val="2"/>
          </rPr>
          <t xml:space="preserve">
According to TMUS 10k, cost of services is expected to increase significantly in 2026 and 2027 due to recent acquisition of Uscelluar</t>
        </r>
      </text>
    </comment>
    <comment ref="N7" authorId="0" shapeId="0" xr:uid="{0834B5AC-5609-4747-9761-AC930DF000D6}">
      <text>
        <r>
          <rPr>
            <b/>
            <sz val="9"/>
            <color indexed="81"/>
            <rFont val="Tahoma"/>
            <family val="2"/>
          </rPr>
          <t>Chineme Oriaku:</t>
        </r>
        <r>
          <rPr>
            <sz val="9"/>
            <color indexed="81"/>
            <rFont val="Tahoma"/>
            <family val="2"/>
          </rPr>
          <t xml:space="preserve">
Staying somewhat consistent with 3 and 5 YR averages while also taking into consideration the pattern after the estimated increases in 2026 and 2027 </t>
        </r>
      </text>
    </comment>
    <comment ref="O7" authorId="0" shapeId="0" xr:uid="{D267E9F2-65AE-4D79-A55B-42C2C55C6557}">
      <text>
        <r>
          <rPr>
            <b/>
            <sz val="9"/>
            <color indexed="81"/>
            <rFont val="Tahoma"/>
            <family val="2"/>
          </rPr>
          <t>Chineme Oriaku:</t>
        </r>
        <r>
          <rPr>
            <sz val="9"/>
            <color indexed="81"/>
            <rFont val="Tahoma"/>
            <family val="2"/>
          </rPr>
          <t xml:space="preserve">
Staying somewhat consistent with 3 and 5 YR averages while also taking into consideration the pattern after the estimated increases in 2026 and 2027 </t>
        </r>
      </text>
    </comment>
    <comment ref="P7" authorId="0" shapeId="0" xr:uid="{E13D4D72-FFEF-4F1F-A6D2-AA1317432C8B}">
      <text>
        <r>
          <rPr>
            <b/>
            <sz val="9"/>
            <color indexed="81"/>
            <rFont val="Tahoma"/>
            <family val="2"/>
          </rPr>
          <t>Chineme Oriaku:</t>
        </r>
        <r>
          <rPr>
            <sz val="9"/>
            <color indexed="81"/>
            <rFont val="Tahoma"/>
            <family val="2"/>
          </rPr>
          <t xml:space="preserve">
Staying somewhat consistent with 3 and 5 YR averages while also taking into consideration the pattern after the estimated increases in 2026 and 2027 </t>
        </r>
      </text>
    </comment>
    <comment ref="L8" authorId="0" shapeId="0" xr:uid="{B6712303-2208-4236-944A-DC0E55ED1C63}">
      <text>
        <r>
          <rPr>
            <b/>
            <sz val="9"/>
            <color rgb="FF000000"/>
            <rFont val="Tahoma"/>
            <family val="2"/>
          </rPr>
          <t>Chineme Oriaku:</t>
        </r>
        <r>
          <rPr>
            <sz val="9"/>
            <color rgb="FF000000"/>
            <rFont val="Tahoma"/>
            <family val="2"/>
          </rPr>
          <t xml:space="preserve">
</t>
        </r>
        <r>
          <rPr>
            <sz val="9"/>
            <color rgb="FF000000"/>
            <rFont val="Tahoma"/>
            <family val="2"/>
          </rPr>
          <t xml:space="preserve">According to TMUS 10k, higher Cost of equipment sales driven by higher expected unit sales from a growing customer base </t>
        </r>
      </text>
    </comment>
    <comment ref="M8" authorId="0" shapeId="0" xr:uid="{00B0FF77-891B-49AD-9FAE-89BBFD7329CB}">
      <text>
        <r>
          <rPr>
            <b/>
            <sz val="9"/>
            <color indexed="81"/>
            <rFont val="Tahoma"/>
            <family val="2"/>
          </rPr>
          <t>Chineme Oriaku:</t>
        </r>
        <r>
          <rPr>
            <sz val="9"/>
            <color indexed="81"/>
            <rFont val="Tahoma"/>
            <family val="2"/>
          </rPr>
          <t xml:space="preserve">
According to TMUS 10k, higher Cost of equipment sales driven by higher expected unit sales from a growing customer base </t>
        </r>
      </text>
    </comment>
    <comment ref="N8" authorId="0" shapeId="0" xr:uid="{316269C3-183B-433F-88DD-ECEABCAB9F91}">
      <text>
        <r>
          <rPr>
            <b/>
            <sz val="9"/>
            <color indexed="81"/>
            <rFont val="Tahoma"/>
            <family val="2"/>
          </rPr>
          <t>Chineme Oriaku:</t>
        </r>
        <r>
          <rPr>
            <sz val="9"/>
            <color indexed="81"/>
            <rFont val="Tahoma"/>
            <family val="2"/>
          </rPr>
          <t xml:space="preserve">
Staying somewhat consistent with 3 and 5 YR averages while also taking into consideration the pattern after the estimated increases in 2026 and 2027 </t>
        </r>
      </text>
    </comment>
    <comment ref="O8" authorId="0" shapeId="0" xr:uid="{909885F9-E30A-4B5D-A133-4413B7CC9E62}">
      <text>
        <r>
          <rPr>
            <b/>
            <sz val="9"/>
            <color indexed="81"/>
            <rFont val="Tahoma"/>
            <family val="2"/>
          </rPr>
          <t>Chineme Oriaku:</t>
        </r>
        <r>
          <rPr>
            <sz val="9"/>
            <color indexed="81"/>
            <rFont val="Tahoma"/>
            <family val="2"/>
          </rPr>
          <t xml:space="preserve">
Staying somewhat consistent with 3 and 5 YR averages while also taking into consideration the pattern after the estimated increases in 2026 and 2027 </t>
        </r>
      </text>
    </comment>
    <comment ref="P8" authorId="0" shapeId="0" xr:uid="{0AFE00FA-67EB-4C30-AA04-B6EC24ADB523}">
      <text>
        <r>
          <rPr>
            <b/>
            <sz val="9"/>
            <color indexed="81"/>
            <rFont val="Tahoma"/>
            <family val="2"/>
          </rPr>
          <t>Chineme Oriaku:</t>
        </r>
        <r>
          <rPr>
            <sz val="9"/>
            <color indexed="81"/>
            <rFont val="Tahoma"/>
            <family val="2"/>
          </rPr>
          <t xml:space="preserve">
Staying somewhat consistent with 3 and 5 YR averages while also taking into consideration the pattern after the estimated increases in 2026 and 2027 </t>
        </r>
      </text>
    </comment>
    <comment ref="L9" authorId="0" shapeId="0" xr:uid="{B8E16381-2112-413E-91F1-493FF2210080}">
      <text>
        <r>
          <rPr>
            <b/>
            <sz val="9"/>
            <color indexed="81"/>
            <rFont val="Tahoma"/>
            <family val="2"/>
          </rPr>
          <t>Chineme Oriaku:</t>
        </r>
        <r>
          <rPr>
            <sz val="9"/>
            <color indexed="81"/>
            <rFont val="Tahoma"/>
            <family val="2"/>
          </rPr>
          <t xml:space="preserve">
According to TMUS 10k, SGA is expected to increase significantly in 2026 and 2027 due to recent acquisition of Uscelluar. Additionally, TMUS expectsexpenses to increase, primarily driven by higher Depreciation and amortization from assets alonf with continued build-out of  nationwide 5G network</t>
        </r>
      </text>
    </comment>
    <comment ref="M9" authorId="0" shapeId="0" xr:uid="{3E3BD93E-E189-4A95-9657-394F7D736301}">
      <text>
        <r>
          <rPr>
            <b/>
            <sz val="9"/>
            <color rgb="FF000000"/>
            <rFont val="Tahoma"/>
            <family val="2"/>
          </rPr>
          <t>Chineme Oriaku:</t>
        </r>
        <r>
          <rPr>
            <sz val="9"/>
            <color rgb="FF000000"/>
            <rFont val="Tahoma"/>
            <family val="2"/>
          </rPr>
          <t xml:space="preserve">
</t>
        </r>
        <r>
          <rPr>
            <sz val="9"/>
            <color rgb="FF000000"/>
            <rFont val="Tahoma"/>
            <family val="2"/>
          </rPr>
          <t>According to TMUS 10k, SGA is expected to increase significantly in 2026 and 2027 due to recent acquisition of Uscelluar. Additionally, TMUS expectsexpenses to increase, primarily driven by higher Depreciation and amortization from assets alonf with continued build-out of  nationwide 5G network</t>
        </r>
      </text>
    </comment>
    <comment ref="N9" authorId="0" shapeId="0" xr:uid="{EA701949-1B83-41D8-99A5-9ECB175B04BE}">
      <text>
        <r>
          <rPr>
            <b/>
            <sz val="9"/>
            <color indexed="81"/>
            <rFont val="Tahoma"/>
            <family val="2"/>
          </rPr>
          <t>Chineme Oriaku:</t>
        </r>
        <r>
          <rPr>
            <sz val="9"/>
            <color indexed="81"/>
            <rFont val="Tahoma"/>
            <family val="2"/>
          </rPr>
          <t xml:space="preserve">
Staying somewhat consistent with 3 and 5 YR averages while also taking into consideration the pattern after the estimated increases in 2026 and 2027 </t>
        </r>
      </text>
    </comment>
    <comment ref="O9" authorId="0" shapeId="0" xr:uid="{B73997A5-F475-4A24-A532-EC2DF4F0D4EC}">
      <text>
        <r>
          <rPr>
            <b/>
            <sz val="9"/>
            <color indexed="81"/>
            <rFont val="Tahoma"/>
            <family val="2"/>
          </rPr>
          <t>Chineme Oriaku:</t>
        </r>
        <r>
          <rPr>
            <sz val="9"/>
            <color indexed="81"/>
            <rFont val="Tahoma"/>
            <family val="2"/>
          </rPr>
          <t xml:space="preserve">
Staying somewhat consistent with 3 and 5 YR averages while also taking into consideration the pattern after the estimated increases in 2026 and 2027 </t>
        </r>
      </text>
    </comment>
    <comment ref="P9" authorId="0" shapeId="0" xr:uid="{6B274A2E-BED2-4F1D-82FF-8B9831FCDCF9}">
      <text>
        <r>
          <rPr>
            <b/>
            <sz val="9"/>
            <color indexed="81"/>
            <rFont val="Tahoma"/>
            <family val="2"/>
          </rPr>
          <t>Chineme Oriaku:</t>
        </r>
        <r>
          <rPr>
            <sz val="9"/>
            <color indexed="81"/>
            <rFont val="Tahoma"/>
            <family val="2"/>
          </rPr>
          <t xml:space="preserve">
Staying somewhat consistent with 3 and 5 YR averages while also taking into consideration the pattern after the estimated increases in 2026 and 2027 </t>
        </r>
      </text>
    </comment>
    <comment ref="L10" authorId="0" shapeId="0" xr:uid="{FA68A556-371B-44A4-8D5C-3B26EBEA1AA2}">
      <text>
        <r>
          <rPr>
            <b/>
            <sz val="9"/>
            <color indexed="81"/>
            <rFont val="Tahoma"/>
            <family val="2"/>
          </rPr>
          <t>Chineme Oriaku:</t>
        </r>
        <r>
          <rPr>
            <sz val="9"/>
            <color indexed="81"/>
            <rFont val="Tahoma"/>
            <family val="2"/>
          </rPr>
          <t xml:space="preserve">
The company expects their D&amp;A to be 4 billion in Q1 due to accelerated depreciation associated with their acquisition of USCellular</t>
        </r>
      </text>
    </comment>
    <comment ref="M10" authorId="0" shapeId="0" xr:uid="{86C1B7A8-5F52-4C09-AA77-4D5DCF00A43A}">
      <text>
        <r>
          <rPr>
            <b/>
            <sz val="9"/>
            <color indexed="81"/>
            <rFont val="Tahoma"/>
            <family val="2"/>
          </rPr>
          <t>Chineme Oriaku:</t>
        </r>
        <r>
          <rPr>
            <sz val="9"/>
            <color indexed="81"/>
            <rFont val="Tahoma"/>
            <family val="2"/>
          </rPr>
          <t xml:space="preserve">
Depreciation leveling of back to normal patterns after year of accelerated depreciation</t>
        </r>
      </text>
    </comment>
    <comment ref="N10" authorId="0" shapeId="0" xr:uid="{2AD8F858-EAFE-40B2-BCC3-1BDCD96D8E5E}">
      <text>
        <r>
          <rPr>
            <b/>
            <sz val="9"/>
            <color indexed="81"/>
            <rFont val="Tahoma"/>
            <family val="2"/>
          </rPr>
          <t>Chineme Oriaku:</t>
        </r>
        <r>
          <rPr>
            <sz val="9"/>
            <color indexed="81"/>
            <rFont val="Tahoma"/>
            <family val="2"/>
          </rPr>
          <t xml:space="preserve">
Staying somewhat consistent with 3 and 5 YR averages while also taking into consideration the pattern after the estimated increases in 2026 and 2027 </t>
        </r>
      </text>
    </comment>
    <comment ref="O10" authorId="0" shapeId="0" xr:uid="{AEC94E55-8200-4B7A-A07D-BE167AC57978}">
      <text>
        <r>
          <rPr>
            <b/>
            <sz val="9"/>
            <color indexed="81"/>
            <rFont val="Tahoma"/>
            <family val="2"/>
          </rPr>
          <t>Chineme Oriaku:</t>
        </r>
        <r>
          <rPr>
            <sz val="9"/>
            <color indexed="81"/>
            <rFont val="Tahoma"/>
            <family val="2"/>
          </rPr>
          <t xml:space="preserve">
Staying somewhat consistent with 3 and 5 YR averages while also taking into consideration the pattern after the estimated increases in 2026 and 2027 </t>
        </r>
      </text>
    </comment>
    <comment ref="P10" authorId="0" shapeId="0" xr:uid="{5AD63C39-15FE-4E64-BF9E-90B0E2311715}">
      <text>
        <r>
          <rPr>
            <b/>
            <sz val="9"/>
            <color indexed="81"/>
            <rFont val="Tahoma"/>
            <family val="2"/>
          </rPr>
          <t>Chineme Oriaku:</t>
        </r>
        <r>
          <rPr>
            <sz val="9"/>
            <color indexed="81"/>
            <rFont val="Tahoma"/>
            <family val="2"/>
          </rPr>
          <t xml:space="preserve">
Staying somewhat consistent with 3 and 5 YR averages while also taking into consideration the pattern after the estimated increases in 2026 and 2027 </t>
        </r>
      </text>
    </comment>
    <comment ref="L12" authorId="0" shapeId="0" xr:uid="{28803429-869C-450B-A893-152C443336B5}">
      <text>
        <r>
          <rPr>
            <b/>
            <sz val="9"/>
            <color indexed="81"/>
            <rFont val="Tahoma"/>
            <family val="2"/>
          </rPr>
          <t>Chineme Oriaku:</t>
        </r>
        <r>
          <rPr>
            <sz val="9"/>
            <color indexed="81"/>
            <rFont val="Tahoma"/>
            <family val="2"/>
          </rPr>
          <t xml:space="preserve">
The company expects to pay cash taxes of approximately $1.5 billion in 2026 </t>
        </r>
      </text>
    </comment>
    <comment ref="M12" authorId="0" shapeId="0" xr:uid="{F5A21874-B92E-47E1-B0E1-E40A1D6C384A}">
      <text>
        <r>
          <rPr>
            <b/>
            <sz val="9"/>
            <color indexed="81"/>
            <rFont val="Tahoma"/>
            <family val="2"/>
          </rPr>
          <t>Chineme Oriaku:</t>
        </r>
        <r>
          <rPr>
            <sz val="9"/>
            <color indexed="81"/>
            <rFont val="Tahoma"/>
            <family val="2"/>
          </rPr>
          <t xml:space="preserve">
The company expects to pay cash taxes of approximately $3.5 billion in 2027</t>
        </r>
      </text>
    </comment>
    <comment ref="N12" authorId="0" shapeId="0" xr:uid="{3FED446F-EAC3-4461-81C7-08BAE7BDF72E}">
      <text>
        <r>
          <rPr>
            <b/>
            <sz val="9"/>
            <color indexed="81"/>
            <rFont val="Tahoma"/>
            <family val="2"/>
          </rPr>
          <t>Chineme Oriaku:</t>
        </r>
        <r>
          <rPr>
            <sz val="9"/>
            <color indexed="81"/>
            <rFont val="Tahoma"/>
            <family val="2"/>
          </rPr>
          <t xml:space="preserve">
Staying somewhat consistent with 3 and 5 YR averages while also taking into consideration the pattern after the estimated increases in 2026 and 2027 </t>
        </r>
      </text>
    </comment>
    <comment ref="O12" authorId="0" shapeId="0" xr:uid="{9944047B-8BA2-47AC-BA45-4C405E3C3057}">
      <text>
        <r>
          <rPr>
            <b/>
            <sz val="9"/>
            <color indexed="81"/>
            <rFont val="Tahoma"/>
            <family val="2"/>
          </rPr>
          <t>Chineme Oriaku:</t>
        </r>
        <r>
          <rPr>
            <sz val="9"/>
            <color indexed="81"/>
            <rFont val="Tahoma"/>
            <family val="2"/>
          </rPr>
          <t xml:space="preserve">
Staying somewhat consistent with 3 and 5 YR averages while also taking into consideration the pattern after the estimated increases in 2026 and 2027 </t>
        </r>
      </text>
    </comment>
    <comment ref="P12" authorId="0" shapeId="0" xr:uid="{6896B62B-1AFC-42E9-BC17-CC1DC3753092}">
      <text>
        <r>
          <rPr>
            <b/>
            <sz val="9"/>
            <color indexed="81"/>
            <rFont val="Tahoma"/>
            <family val="2"/>
          </rPr>
          <t>Chineme Oriaku:</t>
        </r>
        <r>
          <rPr>
            <sz val="9"/>
            <color indexed="81"/>
            <rFont val="Tahoma"/>
            <family val="2"/>
          </rPr>
          <t xml:space="preserve">
Staying somewhat consistent with 3 and 5 YR averages while also taking into consideration the pattern after the estimated increases in 2026 and 2027 </t>
        </r>
      </text>
    </comment>
    <comment ref="L14" authorId="1" shapeId="0" xr:uid="{4506F26E-0642-46F3-BBEF-32F74A1D0E7C}">
      <text>
        <r>
          <rPr>
            <sz val="11"/>
            <color theme="1"/>
            <rFont val="Calibri"/>
            <family val="2"/>
            <scheme val="minor"/>
          </rPr>
          <t>Karishma Shah:
T-Mobile’s cash position relative to revenue to remain stable to slightly decline in 2026 as the company keeps capital spending elevated while returning significant cash to shareholders. Management states that 2026 capex will be maintained versus 2025 levels, driven by 5G network buildout, UScellular integration, and digital upgrades (10K TMUS, PDF page 52). At the same time, the Board approved a $14.6 billion shareholder return program for 2026, including buybacks and dividends (PDF page 52).
Since 81% of service revenue comes from postpaid customers (PDF page 7), cash flow should remain strong and predictable. However, excess cash will likely be used for capex and shareholder returns rather than held on the balance sheet. As a result, cash as a percentage of revenue may dip slightly while overall liquidity remains solid.</t>
        </r>
      </text>
    </comment>
    <comment ref="M14" authorId="1" shapeId="0" xr:uid="{0DF75EE5-4517-42C2-9DAD-A77B6B20D2D0}">
      <text>
        <r>
          <rPr>
            <sz val="11"/>
            <color theme="1"/>
            <rFont val="Calibri"/>
            <family val="2"/>
            <scheme val="minor"/>
          </rPr>
          <t>Karishma Shah:
Cash as a percentage of revenue willremain steady to slightly lower in 2027 as T-Mobile continues its capital return plan, which supports about $30 billion of dividends and buybacks from 2026 through the end of 2027 (PDF page 52).
Management also notes at least $22 billion of additional financial flexibility for opportunistic uses (PDF page 52), showing that cash is meant to be deployed strategically. With revenue supported by a strong 5G network and growth in fixed wireless broadband (PDF pages 6–7), cash should grow in absolute terms even if the ratio to revenue stays flat or slightly lower.</t>
        </r>
      </text>
    </comment>
    <comment ref="N14" authorId="1" shapeId="0" xr:uid="{A27D5615-2B09-4142-8857-47345A5AE304}">
      <text>
        <r>
          <rPr>
            <sz val="11"/>
            <color theme="1"/>
            <rFont val="Calibri"/>
            <family val="2"/>
            <scheme val="minor"/>
          </rPr>
          <t>Karishma Shah:
By 2028, I expect cash as a percentage of revenue to stabilize as the large near-term return commitments roll off and capital spending becomes more tied to steady spectrum deployment rather than integration activity. Management notes that future capex will mainly be driven by deploying acquired spectrum licenses (PDF page 52), which suggests a more predictable spending pattern.
With the 5G standalone network largely built and broadband expansion using existing network capacity (PDF page 6), revenue growth should require less incremental cash.</t>
        </r>
      </text>
    </comment>
    <comment ref="O14" authorId="1" shapeId="0" xr:uid="{4C1A219E-AABE-4C9E-B110-2160A7F09B37}">
      <text>
        <r>
          <rPr>
            <sz val="11"/>
            <color theme="1"/>
            <rFont val="Calibri"/>
            <family val="2"/>
            <scheme val="minor"/>
          </rPr>
          <t>Karishma Shah:
T-Mobile highlights its strong spectrum position and multilayer network as a long-term advantage (PDF page 6), which reduces the need for major new build cycles.
The company will continue evaluating future spectrum purchases in auctions and secondary markets (PDF page 8). If a large opportunity appears, cash needs could temporarily rise, but otherwise liquidity should remain aligned with steady revenue growth.</t>
        </r>
      </text>
    </comment>
    <comment ref="P14" authorId="1" shapeId="0" xr:uid="{9E499083-5ABB-4078-ACD9-CEE800377CC9}">
      <text>
        <r>
          <rPr>
            <sz val="11"/>
            <color theme="1"/>
            <rFont val="Calibri"/>
            <family val="2"/>
            <scheme val="minor"/>
          </rPr>
          <t>Karishma Shah:
Despite knowing T-Mobile's future plans we can assume from 10k 
- Strong recurring cash flow from a service-heavy business (81% postpaid) (PDF page 7)
- Controlled and planned spectrum-related capex (PDF page 52)
- Ongoing evaluation of strategic opportunities (PDF page 8)</t>
        </r>
      </text>
    </comment>
    <comment ref="L15" authorId="1" shapeId="0" xr:uid="{BE15F313-B65D-487E-9767-1CDEA4D0DB74}">
      <text>
        <r>
          <rPr>
            <sz val="11"/>
            <color rgb="FF000000"/>
            <rFont val="Calibri"/>
            <family val="2"/>
          </rPr>
          <t xml:space="preserve">Karishma Shah:
</t>
        </r>
        <r>
          <rPr>
            <sz val="11"/>
            <color rgb="FF000000"/>
            <rFont val="Calibri"/>
            <family val="2"/>
          </rPr>
          <t>I expect accounts receivable to remain stable to slightly increase in 2026 as service revenue continues to grow, primarily driven by postpaid subscribers. The 10K states that 81% of service revenue comes from postpaid customers (PDF page 7), which naturally creates receivables since customers are billed after service is provided. As T-Mobile continues adding postpaid and fixed wireless broadband customers, receivables should scale with that growth. However, the company’s push toward digital tools and self-service platforms (PDF page 6) should help maintain efficient billing and collections.</t>
        </r>
      </text>
    </comment>
    <comment ref="M15" authorId="1" shapeId="0" xr:uid="{86BB457F-2A29-49DF-B601-DE71A0790E4F}">
      <text>
        <r>
          <rPr>
            <sz val="11"/>
            <color theme="1"/>
            <rFont val="Calibri"/>
            <family val="2"/>
            <scheme val="minor"/>
          </rPr>
          <t>Karishma Shah:
In 2027, receivables should remain within the historical range as subscriber growth continues and broadband expands. Because T-Mobile operates a subscription-based model with predictable monthly billing, collections are typically steady. Improvements in automation and AI-driven servicing should help keep billing cycles efficient and prevent deterioration in payment timing.</t>
        </r>
      </text>
    </comment>
    <comment ref="N15" authorId="1" shapeId="0" xr:uid="{EEE8020E-B857-476D-AD87-9B4122CCF83F}">
      <text>
        <r>
          <rPr>
            <sz val="11"/>
            <color theme="1"/>
            <rFont val="Calibri"/>
            <family val="2"/>
            <scheme val="minor"/>
          </rPr>
          <t>Karishma Shah:
By 2028, receivables could begin to improve modestly as scale and digital systems enhance operational efficiency. With the 5G standalone network largely deployed and broadband growth leveraging existing capacity (PDF page 6), revenue should remain recurring and predictable. As digital transformation becomes more embedded in the business, billing accuracy and payment processing should continue improving.</t>
        </r>
      </text>
    </comment>
    <comment ref="O15" authorId="1" shapeId="0" xr:uid="{E76083F0-E0BC-4C4A-8277-29578ACC722B}">
      <text>
        <r>
          <rPr>
            <sz val="11"/>
            <color theme="1"/>
            <rFont val="Calibri"/>
            <family val="2"/>
            <scheme val="minor"/>
          </rPr>
          <t>Karishma Shah:
In 2029, I expect receivables to trend slightly lower as the business matures and customer retention remains strong. The company emphasizes network quality and customer experience as competitive advantages (PDF page 6), which supports lower churn and fewer billing disruptions. A stable postpaid base leads to more consistent collection patterns.</t>
        </r>
      </text>
    </comment>
    <comment ref="P15" authorId="1" shapeId="0" xr:uid="{394697E3-6FAB-4451-B184-A11F4AC04120}">
      <text>
        <r>
          <rPr>
            <sz val="11"/>
            <color theme="1"/>
            <rFont val="Calibri"/>
            <family val="2"/>
            <scheme val="minor"/>
          </rPr>
          <t>Karishma Shah:
By 2030, receivables should reflect a mature, subscription-driven model with consistent billing and steady collections. With postpaid still representing the majority of service revenue (PDF page 7) and ongoing investment in digital infrastructure (PDF page 6), working capital should remain well managed. This supports our Buy thesis, as predictable collections strengthen free cash flow without increasing balance sheet risk.</t>
        </r>
      </text>
    </comment>
    <comment ref="L18" authorId="1" shapeId="0" xr:uid="{637BA603-DC4D-4FB1-8C8C-93FCCC8F1B76}">
      <text>
        <r>
          <rPr>
            <sz val="11"/>
            <color theme="1"/>
            <rFont val="Calibri"/>
            <family val="2"/>
            <scheme val="minor"/>
          </rPr>
          <t>Karishma Shah:
I expect prepaid expenses to come down slightly in 2026 from the higher 2025 level of 1.38%. The 10K says 2026 capex will be maintained versus 2025, driven by continued 5G buildout, UScellular integration, and digital upgrades (TMUS 10K, PDF page 52). Those projects can require upfront payments to vendors, which likely explains the recent increase. However, since 5G investment is moving past peak build levels across the industry, prepaid balances should begin to ease. I would expect prepaid expenses around 1.25% in 2026.</t>
        </r>
      </text>
    </comment>
    <comment ref="M18" authorId="1" shapeId="0" xr:uid="{F3667E15-3747-4009-BD0E-DE38257EA13D}">
      <text>
        <r>
          <rPr>
            <sz val="11"/>
            <color theme="1"/>
            <rFont val="Calibri"/>
            <family val="2"/>
            <scheme val="minor"/>
          </rPr>
          <t>Karishma Shah:
By 2027, prepaid expenses should continue to move closer to normal levels as integration work winds down. The 10K notes that future capex will mainly be tied to deploying acquired spectrum (PDF page 52), which suggests more steady and planned spending rather than heavy expansion. As vendor payments become more routine, prepaid expenses could fall to around 1.10%.</t>
        </r>
      </text>
    </comment>
    <comment ref="N18" authorId="1" shapeId="0" xr:uid="{7A79E12B-AC73-4DB9-A03F-2EADF28EE883}">
      <text>
        <r>
          <rPr>
            <sz val="11"/>
            <color theme="1"/>
            <rFont val="Calibri"/>
            <family val="2"/>
            <scheme val="minor"/>
          </rPr>
          <t>Karishma Shah:
In 2028, prepaid expenses should stabilize near historical averages around 1.00%. Management emphasizes leveraging its existing multilayer 5G network and excess capacity to drive broadband growth (TMUS 10K, PDF page 6), which suggests incremental growth does not require large upfront operating commitments. As digital servicing and AI-enabled operations become fully embedded, prepaid balances should reflect standard items such as insurance, tower leases, and software agreements rather than growth-driven prepayments.</t>
        </r>
      </text>
    </comment>
    <comment ref="O18" authorId="1" shapeId="0" xr:uid="{05048D3C-CBE4-44E9-83E1-C07CF0E8E8D3}">
      <text>
        <r>
          <rPr>
            <sz val="11"/>
            <color theme="1"/>
            <rFont val="Calibri"/>
            <family val="2"/>
            <scheme val="minor"/>
          </rPr>
          <t>Karishma Shah:
By 2029, prepaid expenses should trend slightly lower toward approximately 0.95% as the business enters a more mature operating phase. With the 5G standalone network largely deployed and integration complete, the company’s cost structure becomes more stable. Broader telecom industry commentary indicates that carriers move into maintenance capex cycles after major spectrum buildouts, supporting lower volatility in prepaid vendor payments. Prepaid balances should therefore remain controlled and efficient.</t>
        </r>
      </text>
    </comment>
    <comment ref="P18" authorId="1" shapeId="0" xr:uid="{CA9DF583-5DB4-4C40-882C-48DB5680E9D4}">
      <text>
        <r>
          <rPr>
            <sz val="11"/>
            <color theme="1"/>
            <rFont val="Calibri"/>
            <family val="2"/>
            <scheme val="minor"/>
          </rPr>
          <t>Karishma Shah:
By 2030, prepaid expenses should settle closer to the historical pre-expansion range of approximately 0.90%. At this stage, T-Mobile operates as a scaled, mature telecom platform with predictable vendor contracts and steady spectrum deployment rather than large transformation-driven initiatives. This supports our Buy thesis, as the moderation in prepaid balances signals operational efficiency and disciplined cost management, reinforcing strong free cash flow conversion without hidden balance sheet pressure.</t>
        </r>
      </text>
    </comment>
    <comment ref="L19" authorId="1" shapeId="0" xr:uid="{1FFCAC84-D511-477C-BEA3-8A9979FEF216}">
      <text>
        <r>
          <rPr>
            <sz val="11"/>
            <color theme="1"/>
            <rFont val="Calibri"/>
            <family val="2"/>
            <scheme val="minor"/>
          </rPr>
          <t>Karishma Shah:
I expect Other Current Assets to decline from 11.05% in 2025 to about 8% in 2026 because the 2025 spike was mainly driven by large spectrum and acquisition transactions, while future plans point to more stable activity. In 2025, T-Mobile agreed to sell its 800 MHz spectrum for $2.9 billion, amended its 600 MHz agreement with Comcast, and completed the UScellular acquisition (10K, PDF pages 8 and 16). These types of deals create short-term balances like deposits, receivables, and closing adjustments that temporarily raise Other Current Assets. Looking ahead, the 10K states that 2026 capital expenditures will be maintained versus 2025 and that future spending will mainly focus on deploying already acquired spectrum rather than pursuing major new transactions (PDF page 52). Management also notes it will evaluate future spectrum purchases opportunistically (PDF page 8), meaning large spikes are possible but not planned as part of the base case. Since the core business remains subscription-based with 81% of service revenue coming from postpaid customers (PDF page 7), there is no structural reason for this line to stay near 11%.</t>
        </r>
      </text>
    </comment>
    <comment ref="M19" authorId="1" shapeId="0" xr:uid="{41F4FCD9-AFF4-4FAA-BFA5-59C864F3874D}">
      <text>
        <r>
          <rPr>
            <sz val="11"/>
            <color theme="1"/>
            <rFont val="Calibri"/>
            <family val="2"/>
            <scheme val="minor"/>
          </rPr>
          <t>Karishma Shah:
I expect Other Current Assets to decline further to around 7.0% in 2027 as the temporary effects of the 2025 spectrum transactions and the UScellular acquisition fully unwind. The 10K highlights that the 800 MHz spectrum sale, 600 MHz exchanges, and the completion of the UScellular wireless acquisition occurred in 2025 (PDF pages 8 and 16). These types of transactions typically create short-term balances such as escrow deposits, receivables, and closing adjustments that sit in current assets until settled. Importantly, the 10K also states that future capital expenditures will mainly focus on deploying acquired spectrum rather than pursuing new large acquisitions (PDF page 52). That suggests fewer transaction-related spikes going forward.</t>
        </r>
      </text>
    </comment>
    <comment ref="N19" authorId="1" shapeId="0" xr:uid="{A602D54D-2A58-4926-A7FF-330FB12B0A7A}">
      <text>
        <r>
          <rPr>
            <sz val="11"/>
            <color theme="1"/>
            <rFont val="Calibri"/>
            <family val="2"/>
            <scheme val="minor"/>
          </rPr>
          <t>Karishma Shah:
By 2028, I expect this line to move closer to its historical 4%–6% range, around 6.3%. The 10K emphasizes that T-Mobile’s growth strategy is centered on leveraging its existing multilayer spectrum portfolio and expanding fixed wireless broadband using current network capacity (PDF page 6). That type of growth does not typically require large short-term asset build-ups. Additionally, the company’s capital return framework supports significant shareholder returns through 2027 (PDF page 52), signaling that management is focused on disciplined capital allocation rather than balance sheet expansion.</t>
        </r>
      </text>
    </comment>
    <comment ref="O19" authorId="1" shapeId="0" xr:uid="{6F9725EE-8BEE-49D2-A0E3-769A0B95D0AB}">
      <text>
        <r>
          <rPr>
            <sz val="11"/>
            <color theme="1"/>
            <rFont val="Calibri"/>
            <family val="2"/>
            <scheme val="minor"/>
          </rPr>
          <t>Karishma Shah:
In 2029, I expect Other Current Assets to settle near 5.0%, in line with pre-2025 levels. The business remains subscription-driven, with 81% of service revenue from postpaid customers (PDF page 7), which creates stable and predictable billing cycles. There is no indication in the 10K that the operating model requires structurally higher short-term “other” balances. Management notes it will continue evaluating future spectrum purchases opportunistically (PDF page 8), but these are not built into ongoing operations.</t>
        </r>
      </text>
    </comment>
    <comment ref="P19" authorId="1" shapeId="0" xr:uid="{66A92C05-E82B-4832-A32A-13D1AF346F7F}">
      <text>
        <r>
          <rPr>
            <sz val="11"/>
            <color theme="1"/>
            <rFont val="Calibri"/>
            <family val="2"/>
            <scheme val="minor"/>
          </rPr>
          <t>Karishma Shah:
By 2030, I expect this line to remain stable around 4.8%–5.0%, consistent with the 2021–2024 range. The 10K makes clear that future investment is focused on deploying existing spectrum assets rather than large new acquisitions (PDF page 52). With the 5G standalone network largely deployed and broadband growth leveraging existing infrastructure (PDF page 6), there is no structural reason for elevated transaction-related balances. This normalization supports our Buy thesis, as it shows the 2025 spike was temporary and working capital becomes cleaner and more efficient over time.</t>
        </r>
      </text>
    </comment>
    <comment ref="L21" authorId="1" shapeId="0" xr:uid="{7417C827-E3BF-49BD-832C-961B6A03161D}">
      <text>
        <r>
          <rPr>
            <sz val="11"/>
            <color rgb="FF000000"/>
            <rFont val="Calibri"/>
            <family val="2"/>
          </rPr>
          <t xml:space="preserve">Karishma Shah:
</t>
        </r>
        <r>
          <rPr>
            <sz val="11"/>
            <color rgb="FF000000"/>
            <rFont val="Calibri"/>
            <family val="2"/>
          </rPr>
          <t>I expect Property &amp; Equipment to decline gradually from 43.41% in 2025 to roughly 41% in 2026 and trend toward 40% by 2029–2030, reflecting improving capital efficiency rather than aggressive asset reduction. The 10K states that 2026 capital expenditures are expected to be maintained versus 2025 levels (PDF page 52), meaning investment remains elevated but not accelerating. At the same time, revenue growth continues to be supported by a subscription-based model, with 81% of service revenue coming from postpaid customers (PDF page 7), as well as growth in fixed wireless broadband leveraging existing network capacity (PDF page 6). Because future capital spending is primarily focused on deploying already acquired spectrum rather than building entirely new infrastructure (PDF page 52), incremental revenue growth should require less proportional asset growth. However, since telecom remains capital intensive and spectrum deployment continues, a stabilization around 40% rather than a sharp drop into the 30s is reasonable. This gradual decline supports our Buy thesis, as it reflects improving operating leverage and stronger free cash flow generation without assuming unrealistic cuts to infrastructure investment.</t>
        </r>
      </text>
    </comment>
    <comment ref="M21" authorId="1" shapeId="0" xr:uid="{D7D9374B-4AD1-4077-A044-405ADDD873BA}">
      <text>
        <r>
          <rPr>
            <sz val="11"/>
            <color rgb="FF000000"/>
            <rFont val="Calibri"/>
            <family val="2"/>
          </rPr>
          <t xml:space="preserve">Karishma Shah:
</t>
        </r>
        <r>
          <rPr>
            <sz val="11"/>
            <color rgb="FF000000"/>
            <rFont val="Calibri"/>
            <family val="2"/>
          </rPr>
          <t>In 2027, I expect Property &amp; Equipment to decline slightly to 40.5% as revenue continues to grow while capital spending remains disciplined. The 10K states that future capex will primarily focus on deploying already acquired spectrum rather than expanding into new large-scale buildouts (PDF page 52). That suggests investment becomes more targeted rather than expansion-heavy. With 81% of service revenue coming from postpaid customers (PDF page 7), revenue remains recurring and stable, supporting operating leverage.</t>
        </r>
      </text>
    </comment>
    <comment ref="N21" authorId="1" shapeId="0" xr:uid="{1486E755-48D2-4CAE-A82A-18C191C9F8F0}">
      <text>
        <r>
          <rPr>
            <sz val="11"/>
            <color rgb="FF000000"/>
            <rFont val="Calibri"/>
            <family val="2"/>
          </rPr>
          <t xml:space="preserve">Karishma Shah:
</t>
        </r>
        <r>
          <rPr>
            <sz val="11"/>
            <color rgb="FF000000"/>
            <rFont val="Calibri"/>
            <family val="2"/>
          </rPr>
          <t>By 2028, I expect the ratio to remain around 40.5% as the network reaches a more mature phase. The 10K emphasizes leveraging the existing multilayer spectrum portfolio and expanding fixed wireless broadband using current network capacity (PDF page 6). This means incremental revenue growth does not require proportional growth in infrastructure assets. However, telecom remains capital intensive, so stabilization rather than sharp decline is reasonable.</t>
        </r>
      </text>
    </comment>
    <comment ref="O21" authorId="1" shapeId="0" xr:uid="{5410DA70-4B7D-46F9-B2BA-C6CD9FA47E84}">
      <text>
        <r>
          <rPr>
            <sz val="11"/>
            <color theme="1"/>
            <rFont val="Calibri"/>
            <family val="2"/>
            <scheme val="minor"/>
          </rPr>
          <t>Karishma Shah:
In 2029, I expect Property &amp; Equipment to decline modestly to 40.0% as spectrum deployment becomes more routine and revenue continues scaling. The 10K notes that future investment is centered on spectrum deployment and network optimization rather than major acquisitions (PDF page 52). As the business shifts further into monetization mode rather than build mode, asset intensity gradually improves.</t>
        </r>
      </text>
    </comment>
    <comment ref="P21" authorId="1" shapeId="0" xr:uid="{34D2BE7F-CBCD-4B53-8C5D-9107F4A5A335}">
      <text>
        <r>
          <rPr>
            <sz val="11"/>
            <color theme="1"/>
            <rFont val="Calibri"/>
            <family val="2"/>
            <scheme val="minor"/>
          </rPr>
          <t>Karishma Shah:
By 2030, I expect Property &amp; Equipment to stabilize around 40.0%. With the 5G standalone network largely deployed and broadband growth leveraging existing infrastructure (PDF page 6), the company should operate in a steady-state investment cycle. Capital spending remains necessary for maintenance and upgrades, but no major structural build is indicated in the 10K. This steady level supports the Buy thesis, as it shows improving capital efficiency without assuming unrealistic cuts to long-term infrastructure investment.</t>
        </r>
      </text>
    </comment>
    <comment ref="L22" authorId="1" shapeId="0" xr:uid="{37D1C574-6855-4DA2-B625-403313027857}">
      <text>
        <r>
          <rPr>
            <sz val="11"/>
            <color theme="1"/>
            <rFont val="Calibri"/>
            <family val="2"/>
            <scheme val="minor"/>
          </rPr>
          <t>Karishma Shah:
I expect Operating Lease ROU assets to decline slightly to around 28.5% in 2026 as revenue continues to grow while new lease additions slow. The 10-K states that 2026 capex will be maintained versus 2025 and that future investment is mainly focused on deploying already acquired spectrum rather than expanding into entirely new network builds (PDF page 52). Since T-Mobile leases cell sites, retail stores, and network facilities (PDF page 71), lease assets remain meaningful, but with integration activity stabilizing after the UScellular transaction, lease growth should moderate relative to revenue.
Source: https://www.t-mobile.com/news/business/t-mobile-capital-markets-day-update-feb-2026</t>
        </r>
      </text>
    </comment>
    <comment ref="M22" authorId="1" shapeId="0" xr:uid="{44C1ED23-FC37-44D4-99A7-9A3008FA82C0}">
      <text>
        <r>
          <rPr>
            <sz val="11"/>
            <color theme="1"/>
            <rFont val="Calibri"/>
            <family val="2"/>
            <scheme val="minor"/>
          </rPr>
          <t>Karishma Shah:
By 2027, I expect further gradual improvement as integration effects fade and the company shifts further into optimization mode. The 10-K notes that 81% of service revenue comes from postpaid customers (PDF page 7), which supports steady, recurring revenue growth without requiring proportional lease expansion. As broadband growth continues to leverage existing network infrastructure (PDF page 6), lease intensity should decline modestly.
Source: https://www.reuters.com/business/media-telecom/us-wireless-carriers-capex-outlook-2025-2024-11-15/</t>
        </r>
      </text>
    </comment>
    <comment ref="N22" authorId="1" shapeId="0" xr:uid="{CBB299A8-FA9B-432D-8F92-83E8F8D66F54}">
      <text>
        <r>
          <rPr>
            <sz val="11"/>
            <color theme="1"/>
            <rFont val="Calibri"/>
            <family val="2"/>
            <scheme val="minor"/>
          </rPr>
          <t>Karishma Shah:
In 2028, I expect continued gradual decline as T-Mobile scales fixed wireless and fiber growth largely on its current network footprint. At its Capital Markets Day, management outlined long-term broadband growth targets extending to 2030, emphasizing use of existing spectrum and network capacity rather than heavy new footprint expansion. This supports revenue scaling faster than lease commitments.
Source: https://www.t-mobile.com/news/business/t-mobile-capital-markets-day-update-feb-2026</t>
        </r>
      </text>
    </comment>
    <comment ref="O22" authorId="1" shapeId="0" xr:uid="{1A1472A3-0E24-4562-96BC-37B70824251C}">
      <text>
        <r>
          <rPr>
            <sz val="11"/>
            <color theme="1"/>
            <rFont val="Calibri"/>
            <family val="2"/>
            <scheme val="minor"/>
          </rPr>
          <t>Karishma Shah:
By 2029, lease intensity should continue easing as the 5G network is fully mature and capital spending is centered on spectrum deployment and network optimization (10-K PDF page 52). Industry commentary has noted that U.S. carriers are past peak 5G buildout, which supports more stable and predictable lease obligations rather than expansion-driven growth.
Source: https://www.bloomberg.com/news/articles/2024-10-30/us-telecom-capex-trends-after-5g-peak</t>
        </r>
      </text>
    </comment>
    <comment ref="P22" authorId="1" shapeId="0" xr:uid="{D6BEB768-71B1-4689-9784-4692385ADBC4}">
      <text>
        <r>
          <rPr>
            <sz val="11"/>
            <color theme="1"/>
            <rFont val="Calibri"/>
            <family val="2"/>
            <scheme val="minor"/>
          </rPr>
          <t>Karishma Shah:
By 2030, I expect stabilization in the mid-20% range. The network footprint should be largely optimized, and growth in broadband and enterprise services should rely on existing infrastructure rather than major new lease additions. This aligns with management’s long-term strategy to monetize its multilayer spectrum portfolio while maintaining disciplined capital allocation.
Source: https://www.t-mobile.com/news/business/t-mobile-capital-markets-day-update-feb-2026</t>
        </r>
      </text>
    </comment>
    <comment ref="L23" authorId="1" shapeId="0" xr:uid="{8818CBF4-EC46-499B-B26A-AE6CB7FBE23D}">
      <text>
        <r>
          <rPr>
            <sz val="11"/>
            <color theme="1"/>
            <rFont val="Calibri"/>
            <family val="2"/>
            <scheme val="minor"/>
          </rPr>
          <t>Karishma Shah:
I expect financing lease ROU assets to dip slightly to 3.05% in 2026 because T-Mobile uses financing leases mainly for certain network equipment (TMUS 10-K, PDF page 71), and management expects 2026 capex to be maintained vs. 2025 (PDF page 52). That points to continued investment, but not a step-up year. With growth coming from a subscription-heavy base (81% postpaid service revenue) (PDF page 7), revenue should keep rising while equipment added through financing leases grows more slowly, supporting a small decline in the ratio. 
Source (article): https://www.nasdaq.com/press-release/t-mobile-raises-bar-increasing-its-multi-year-growth-outlook-fueled-widening-and</t>
        </r>
      </text>
    </comment>
    <comment ref="M23" authorId="1" shapeId="0" xr:uid="{404CD0B4-DD38-4236-80F9-2DD509B3AB93}">
      <text>
        <r>
          <rPr>
            <sz val="11"/>
            <color theme="1"/>
            <rFont val="Calibri"/>
            <family val="2"/>
            <scheme val="minor"/>
          </rPr>
          <t>Karishma Shah:
In 2027, I expect a small step-down to 3.00% as T-Mobile keeps funding growth but leans more into returning capital to shareholders and driving efficiency rather than expanding financed equipment at the same pace as revenue. The 10-K notes financing leases are a source of liquidity (TMUS 10-K, PDF page 46), but it also highlights that longer-term investment is mainly about deploying already acquired spectrum (PDF page 52), which is typically more planned and steady than a major new build cycle. That supports a gradual decline instead of a flat or rising trend. 
Source (article): https://www.reuters.com/business/media-telecom/t-mobile-adds-fewer-wireless-subscribers-than-expected-amid-intense-competition-2026-02-11/</t>
        </r>
      </text>
    </comment>
    <comment ref="N23" authorId="1" shapeId="0" xr:uid="{E25E2274-828D-4452-A110-9B6607609115}">
      <text>
        <r>
          <rPr>
            <sz val="11"/>
            <color theme="1"/>
            <rFont val="Calibri"/>
            <family val="2"/>
            <scheme val="minor"/>
          </rPr>
          <t>Karishma Shah:
By 2028, I expect the ratio to move down to 2.90% as broadband growth scales while relying heavily on existing network capacity. The 10-K describes the strategy of using its network to expand offerings like broadband (TMUS 10-K, PDF page 6), which supports revenue growth without needing financing leases to grow at the same rate. T-Mobile’s updated long-term plan calls for major fixed wireless growth by 2030, which is framed as scaling on the network it already has rather than a full rebuild—this supports the idea that financed equipment growth stays controlled. 
Source (article): https://www.lightreading.com/5g/t-mobile-says-fwa-is-here-to-stay-and-eyes-more-fiber-m-a</t>
        </r>
      </text>
    </comment>
    <comment ref="O23" authorId="1" shapeId="0" xr:uid="{EA249FB9-B550-4BBF-8292-0BD500986358}">
      <text>
        <r>
          <rPr>
            <sz val="11"/>
            <color theme="1"/>
            <rFont val="Calibri"/>
            <family val="2"/>
            <scheme val="minor"/>
          </rPr>
          <t>Karishma Shah:
In 2029, I expect financing lease ROU assets to fall to 2.80% as the business looks more like a steady, mature 5G platform: lots of recurring revenue growth, but equipment additions shifting more toward maintenance and targeted upgrades. The 10-K’s language that future capex is mainly tied to deploying acquired spectrum (TMUS 10-K, PDF page 52) supports a slower, steadier build pattern. Industry research also expects telecom capex intensity to trend down from peak levels over time, which fits a gradual decline in financing-related equipment intensity.
Source (article): https://www.delloro.com/news/global-telecom-capex-to-normalize-not-disappear/</t>
        </r>
      </text>
    </comment>
    <comment ref="P23" authorId="1" shapeId="0" xr:uid="{F3F665FD-9163-4489-A26F-8B350B62FE11}">
      <text>
        <r>
          <rPr>
            <sz val="11"/>
            <color theme="1"/>
            <rFont val="Calibri"/>
            <family val="2"/>
            <scheme val="minor"/>
          </rPr>
          <t>Karishma Shah:
By 2030, I expect the ratio to settle around 2.75% because telecom will always need some financed equipment, but the big expansion phase should be behind them. The 10-K makes clear they have financing leases for network equipment (TMUS 10-K, PDF page 71), but their growth plan is increasingly about monetizing the network and scaling services (TMUS 10-K, PDF page 6) rather than constantly adding new equipment through financing structures. With a stable postpaid-heavy revenue base (TMUS 10-K, PDF page 7), revenue should continue to outgrow financing lease additions, supporting a slow decline into a steady range.
Source (article): https://www.spglobal.com/ratings/en/regulatory/article/us-telecom-2026-outlook-performance-will-be-steady-with-ongoing-risks-from-ma-and-shareholder-returns-s101662999</t>
        </r>
      </text>
    </comment>
    <comment ref="L26" authorId="1" shapeId="0" xr:uid="{D509C068-79A0-44C3-B162-448C91E329C6}">
      <text>
        <r>
          <rPr>
            <sz val="11"/>
            <color theme="1"/>
            <rFont val="Calibri"/>
            <family val="2"/>
            <scheme val="minor"/>
          </rPr>
          <t>Karishma Shah:
I expect a modest decline in 2026 as the intangibles added from the UScellular acquisition begin amortizing. The 10K confirms that the UScellular wireless acquisition closed in 2025 (PDF page 16), which likely explains the increase in 2025 after several years of decline. Since these assets are finite-lived and amortized over time, the balance should begin trending down unless another acquisition occurs.</t>
        </r>
      </text>
    </comment>
    <comment ref="M26" authorId="1" shapeId="0" xr:uid="{B848B309-3E3D-4C3B-9480-E842F9D9277C}">
      <text>
        <r>
          <rPr>
            <sz val="11"/>
            <color theme="1"/>
            <rFont val="Calibri"/>
            <family val="2"/>
            <scheme val="minor"/>
          </rPr>
          <t>Karishma Shah:
By 2027, I expect continued amortization to reduce this line further. The 10K emphasizes capital returns and spectrum deployment rather than large new acquisitions (PDF page 52), which suggests there is no planned M&amp;A cycle that would add another wave of intangible assets. Without new deals, this balance should steadily decline as existing assets are amortized.</t>
        </r>
      </text>
    </comment>
    <comment ref="N26" authorId="1" shapeId="0" xr:uid="{C3D91222-DDD4-4841-AEC9-102FD8519749}">
      <text>
        <r>
          <rPr>
            <sz val="11"/>
            <color theme="1"/>
            <rFont val="Calibri"/>
            <family val="2"/>
            <scheme val="minor"/>
          </rPr>
          <t>Karishma Shah:
In 2028, amortization should continue lowering the balance as the acquisition-related intangibles move further through their useful lives. With the company’s revenue base largely driven by recurring postpaid customers (PDF page 7), revenue should continue growing while the intangible balance declines, improving overall asset efficiency.</t>
        </r>
      </text>
    </comment>
    <comment ref="O26" authorId="1" shapeId="0" xr:uid="{70957B8E-44C3-413F-A6F8-AE2AD9223073}">
      <text>
        <r>
          <rPr>
            <sz val="11"/>
            <color theme="1"/>
            <rFont val="Calibri"/>
            <family val="2"/>
            <scheme val="minor"/>
          </rPr>
          <t>Karishma Shah:
By 2029, I expect the balance to move closer to the levels seen before the 2025 acquisition-related increase. At this stage, most of the UScellular-related intangibles should be well into their amortization schedules, and absent new acquisitions, there is no structural reason for this line to expand again.</t>
        </r>
      </text>
    </comment>
    <comment ref="P26" authorId="1" shapeId="0" xr:uid="{4E8A8B94-F071-4FDC-B748-A19C8410CB5A}">
      <text>
        <r>
          <rPr>
            <sz val="11"/>
            <color theme="1"/>
            <rFont val="Calibri"/>
            <family val="2"/>
            <scheme val="minor"/>
          </rPr>
          <t>Karishma Shah:
Assuming no major acquisition. The 10K makes clear that future investment is focused on deploying acquired spectrum rather than executing new large acquisitions (PDF page 52). Without recurring M&amp;A activity, this balance should continue to decline gradually, supporting improving capital efficiency and stronger long-term returns.</t>
        </r>
      </text>
    </comment>
    <comment ref="L27" authorId="1" shapeId="0" xr:uid="{0FB95C26-094F-4F4E-897A-8E03294EBC61}">
      <text>
        <r>
          <rPr>
            <sz val="11"/>
            <color theme="1"/>
            <rFont val="Calibri"/>
            <family val="2"/>
            <scheme val="minor"/>
          </rPr>
          <t>Karishma Shah:
I expect a slight increase in 2026 as device financing continues to support postpaid subscriber growth. The 10K explains that T-Mobile offers equipment installment plans that allow customers to pay for devices over time (PDF pages 6–7). With 81% of service revenue coming from postpaid customers (PDF page 7), device upgrades remain an important retention and acquisition tool. As subscriber additions and upgrade activity remain healthy, receivables should increase modestly.</t>
        </r>
      </text>
    </comment>
    <comment ref="M27" authorId="1" shapeId="0" xr:uid="{8E5DCB00-89FB-4110-B2EC-77BA7E80010D}">
      <text>
        <r>
          <rPr>
            <sz val="11"/>
            <color theme="1"/>
            <rFont val="Calibri"/>
            <family val="2"/>
            <scheme val="minor"/>
          </rPr>
          <t>Karishma Shah:
In 2027, I expect a small uptick as broadband expansion and continued subscriber growth drive steady device demand. Management continues emphasizing network leadership and customer growth (PDF page 6), which typically requires competitive handset offerings supported by financing. However, the increase remains controlled and within historical norms, reflecting steady operations rather than aggressive credit expansion.</t>
        </r>
      </text>
    </comment>
    <comment ref="N27" authorId="1" shapeId="0" xr:uid="{65B80922-3EAC-48D7-AE10-307DD22F3158}">
      <text>
        <r>
          <rPr>
            <sz val="11"/>
            <color theme="1"/>
            <rFont val="Calibri"/>
            <family val="2"/>
            <scheme val="minor"/>
          </rPr>
          <t>Karishma Shah:
By 2028, I expect stabilization as upgrade cycles normalize. As the business matures and broadband growth increasingly leverages existing infrastructure (PDF page 6), revenue growth becomes more service-driven rather than device-driven. That should keep financing penetration steady rather than expanding further.</t>
        </r>
      </text>
    </comment>
    <comment ref="O27" authorId="1" shapeId="0" xr:uid="{7BD69407-0DAD-4C89-B1FB-78663ECAC9F6}">
      <text>
        <r>
          <rPr>
            <sz val="11"/>
            <color theme="1"/>
            <rFont val="Calibri"/>
            <family val="2"/>
            <scheme val="minor"/>
          </rPr>
          <t>Karishma Shah:
In 2029, I expect a gradual decline as recurring service revenue grows faster than hardware-related receivables. The 10K notes that future capital focus is on deploying acquired spectrum rather than expanding hardware intensity (PDF page 52). As the network is fully built, growth shifts more toward monetizing services, reducing pressure for elevated device financing balances.</t>
        </r>
      </text>
    </comment>
    <comment ref="P27" authorId="1" shapeId="0" xr:uid="{D2A2D801-D206-4B8D-AC6E-08DCDC7E9D59}">
      <text>
        <r>
          <rPr>
            <sz val="11"/>
            <color theme="1"/>
            <rFont val="Calibri"/>
            <family val="2"/>
            <scheme val="minor"/>
          </rPr>
          <t>Karishma Shah:
By 2030, I expect this line to stabilize around 3.05%, reflecting a mature upgrade cycle and steady subscriber base. Equipment financing remains a core part of the telecom model, but with a stable postpaid-heavy revenue mix (PDF page 7), receivables should grow in line with revenue rather than outpace it. This supports the Buy thesis by showing controlled working capital tied to predictable customer behavior, not rising credit risk.</t>
        </r>
      </text>
    </comment>
    <comment ref="L28" authorId="1" shapeId="0" xr:uid="{DE340C0E-A7A7-4D09-8A9C-A1026A935A7D}">
      <text>
        <r>
          <rPr>
            <sz val="11"/>
            <color theme="1"/>
            <rFont val="Calibri"/>
            <family val="2"/>
            <scheme val="minor"/>
          </rPr>
          <t>Karishma Shah:
I expect Other Assets to decline meaningfully in 2026 as transaction-related balances from 2025 begin to roll off. The 10K outlines several major 2025 transactions, including the agreement to sell 800 MHz spectrum for $2.9 billion, 600 MHz license transactions, and the completion of the UScellular acquisition (PDF pages 8 and 16). These types of deals typically create short-term deposits, receivables, and closing adjustments that temporarily inflate “Other assets.” The 10K also notes that 2026 capital expenditures will be maintained versus 2025 and that future investment is mainly focused on deploying already acquired spectrum rather than executing new large acquisitions (PDF page 52). That supports a partial normalization rather than another spike.
Source: https://www.t-mobile.com/news/business/t-mobile-capital-markets-day-update-feb-2026</t>
        </r>
      </text>
    </comment>
    <comment ref="M28" authorId="1" shapeId="0" xr:uid="{D7BFD990-D870-40D4-B3A0-D8C53DF2450B}">
      <text>
        <r>
          <rPr>
            <sz val="11"/>
            <color theme="1"/>
            <rFont val="Calibri"/>
            <family val="2"/>
            <scheme val="minor"/>
          </rPr>
          <t>Karishma Shah:
By 2027, I expect further normalization as integration effects fade and spectrum settlements are completed. Management emphasizes ongoing capital returns and disciplined allocation rather than expansion through large M&amp;A (10K PDF page 52). Industry coverage has also noted that U.S. telecom carriers are moving past peak M&amp;A and 5G build cycles, which reduces the likelihood of large transaction-driven balance sheet swings. As the business shifts from integration to optimization, Other assets should move closer to historical levels.
Source: https://www.reuters.com/business/media-telecom/us-wireless-carriers-capex-outlook-2025-2024-11-15/</t>
        </r>
      </text>
    </comment>
    <comment ref="N28" authorId="1" shapeId="0" xr:uid="{22BF90AC-D049-4176-BC49-8A549223212C}">
      <text>
        <r>
          <rPr>
            <sz val="11"/>
            <color theme="1"/>
            <rFont val="Calibri"/>
            <family val="2"/>
            <scheme val="minor"/>
          </rPr>
          <t>Karishma Shah:
In 2028, I expect this line to return near its pre-2025 range as the company focuses on monetizing its existing network and spectrum position. The 10K highlights leveraging its multilayer spectrum portfolio and growing fixed wireless broadband using existing infrastructure (PDF page 6), which does not require large short-term transaction balances. With no major acquisition cycle indicated, Other assets should reflect routine items such as tax receivables and timing differences rather than strategic deals.
Source: https://www.lightreading.com/5g/t-mobile-says-fwa-is-here-to-stay-and-eyes-more-fiber-m-a</t>
        </r>
      </text>
    </comment>
    <comment ref="O28" authorId="1" shapeId="0" xr:uid="{D51247B7-940E-4CB2-A0C1-1B153BE0D871}">
      <text>
        <r>
          <rPr>
            <sz val="11"/>
            <color theme="1"/>
            <rFont val="Calibri"/>
            <family val="2"/>
            <scheme val="minor"/>
          </rPr>
          <t>Karishma Shah:
By 2029, I expect Other Assets to settle around historical norms. The core business remains subscription-driven, with 81% of service revenue from postpaid customers (10K PDF page 7), supporting stable and predictable working capital needs. Since management states future spectrum purchases will be evaluated opportunistically (PDF page 8), there is no built-in assumption of recurring transaction-driven asset growth.
Source: https://www.bloomberg.com/news/articles/2024-10-30/us-telecom-capex-trends-after-5g-peak</t>
        </r>
      </text>
    </comment>
    <comment ref="P28" authorId="1" shapeId="0" xr:uid="{38547E71-7672-4684-A722-A900A0198B5C}">
      <text>
        <r>
          <rPr>
            <sz val="11"/>
            <color theme="1"/>
            <rFont val="Calibri"/>
            <family val="2"/>
            <scheme val="minor"/>
          </rPr>
          <t>Karishma Shah:
The 10K indicates that long-term investment is centered on deploying acquired spectrum rather than expanding through large new transactions (PDF page 52). As the company operates in a steady-state investment cycle, Other assets should remain stable and consistent with historical norms.
Source: https://www.spglobal.com/ratings/en/research/articles/telecom-industry-outlook-2026-steady-performance-with-disciplined-capex-13000123</t>
        </r>
      </text>
    </comment>
    <comment ref="L30" authorId="2" shapeId="0" xr:uid="{82C5D858-8F29-4AD0-A214-2F87F0416456}">
      <text>
        <r>
          <rPr>
            <b/>
            <sz val="9"/>
            <color indexed="81"/>
            <rFont val="Tahoma"/>
            <family val="2"/>
          </rPr>
          <t>Eneias Olensky:</t>
        </r>
        <r>
          <rPr>
            <sz val="9"/>
            <color indexed="81"/>
            <rFont val="Tahoma"/>
            <family val="2"/>
          </rPr>
          <t xml:space="preserve">
Accounts payable and accured liabilities is expected to decline to 30% due to normalization of payables while following hsitorical trend.</t>
        </r>
      </text>
    </comment>
    <comment ref="M30" authorId="2" shapeId="0" xr:uid="{875D3560-0880-4A18-8E6E-324E9756EE71}">
      <text>
        <r>
          <rPr>
            <b/>
            <sz val="9"/>
            <color indexed="81"/>
            <rFont val="Tahoma"/>
            <family val="2"/>
          </rPr>
          <t>Eneias Olensky:</t>
        </r>
        <r>
          <rPr>
            <sz val="9"/>
            <color indexed="81"/>
            <rFont val="Tahoma"/>
            <family val="2"/>
          </rPr>
          <t xml:space="preserve">
Accounts payable and accrued liabilities continues to decline due to vendor tighening</t>
        </r>
      </text>
    </comment>
    <comment ref="N30" authorId="2" shapeId="0" xr:uid="{379F1D94-A4EA-47FD-B062-747D303B6EC0}">
      <text>
        <r>
          <rPr>
            <b/>
            <sz val="9"/>
            <color indexed="81"/>
            <rFont val="Tahoma"/>
            <family val="2"/>
          </rPr>
          <t>Eneias Olensky:</t>
        </r>
        <r>
          <rPr>
            <sz val="9"/>
            <color indexed="81"/>
            <rFont val="Tahoma"/>
            <family val="2"/>
          </rPr>
          <t xml:space="preserve">
Accounts payable and accrued liabilities rises again due to renewed equipment intensity tied to new phases of network investment</t>
        </r>
      </text>
    </comment>
    <comment ref="O30" authorId="2" shapeId="0" xr:uid="{3A4A05FE-6D3A-470A-A262-C12133F5C7B9}">
      <text>
        <r>
          <rPr>
            <b/>
            <sz val="9"/>
            <color indexed="81"/>
            <rFont val="Tahoma"/>
            <family val="2"/>
          </rPr>
          <t>Eneias Olensky:</t>
        </r>
        <r>
          <rPr>
            <sz val="9"/>
            <color indexed="81"/>
            <rFont val="Tahoma"/>
            <family val="2"/>
          </rPr>
          <t xml:space="preserve">
Accounts payable and accrued liabilities continues to rise due to intensening refocus on network investment</t>
        </r>
      </text>
    </comment>
    <comment ref="P30" authorId="2" shapeId="0" xr:uid="{DE266CB4-A3D5-4D3D-8072-D88039837C01}">
      <text>
        <r>
          <rPr>
            <b/>
            <sz val="9"/>
            <color indexed="81"/>
            <rFont val="Tahoma"/>
            <family val="2"/>
          </rPr>
          <t>Eneias Olensky:</t>
        </r>
        <r>
          <rPr>
            <sz val="9"/>
            <color indexed="81"/>
            <rFont val="Tahoma"/>
            <family val="2"/>
          </rPr>
          <t xml:space="preserve">
Accounts payable and accrued liabilities continues to rise due to intensening refocus on network investment</t>
        </r>
      </text>
    </comment>
    <comment ref="L31" authorId="2" shapeId="0" xr:uid="{B947700A-A575-454B-BB19-EF7E89A2FFCD}">
      <text>
        <r>
          <rPr>
            <b/>
            <sz val="9"/>
            <color indexed="81"/>
            <rFont val="Tahoma"/>
            <family val="2"/>
          </rPr>
          <t>Eneias Olensky:</t>
        </r>
        <r>
          <rPr>
            <sz val="9"/>
            <color indexed="81"/>
            <rFont val="Tahoma"/>
            <family val="2"/>
          </rPr>
          <t xml:space="preserve">
Deferred revenue rises in 2026 due to reflect a higher mix of pre-paid and advance-billed service plans, while following historical trends.</t>
        </r>
      </text>
    </comment>
    <comment ref="M31" authorId="2" shapeId="0" xr:uid="{CF5E4BD0-9673-4405-A944-5E55D6D12555}">
      <text>
        <r>
          <rPr>
            <b/>
            <sz val="9"/>
            <color indexed="81"/>
            <rFont val="Tahoma"/>
            <family val="2"/>
          </rPr>
          <t>Eneias Olensky:</t>
        </r>
        <r>
          <rPr>
            <sz val="9"/>
            <color indexed="81"/>
            <rFont val="Tahoma"/>
            <family val="2"/>
          </rPr>
          <t xml:space="preserve">
Deferred revenue continues to rise in 2027 due to reflect a higher mix of pre-paid and advance-billed service plans, while following historical trends.</t>
        </r>
      </text>
    </comment>
    <comment ref="N31" authorId="2" shapeId="0" xr:uid="{E0E229BF-B64C-4614-98EE-C9675D22DFB9}">
      <text>
        <r>
          <rPr>
            <b/>
            <sz val="9"/>
            <color indexed="81"/>
            <rFont val="Tahoma"/>
            <family val="2"/>
          </rPr>
          <t>Eneias Olensky:</t>
        </r>
        <r>
          <rPr>
            <sz val="9"/>
            <color indexed="81"/>
            <rFont val="Tahoma"/>
            <family val="2"/>
          </rPr>
          <t xml:space="preserve">
Deferred revenue continues to rise in 2028 due to reflect a higher mix of pre-paid and advance-billed service plans, while following historical trends.</t>
        </r>
      </text>
    </comment>
    <comment ref="O31" authorId="2" shapeId="0" xr:uid="{62218C49-9C47-4803-BBCC-19A4E2FC859B}">
      <text>
        <r>
          <rPr>
            <b/>
            <sz val="9"/>
            <color indexed="81"/>
            <rFont val="Tahoma"/>
            <family val="2"/>
          </rPr>
          <t>Eneias Olensky:</t>
        </r>
        <r>
          <rPr>
            <sz val="9"/>
            <color indexed="81"/>
            <rFont val="Tahoma"/>
            <family val="2"/>
          </rPr>
          <t xml:space="preserve">
Deferred revenue continues to rise in 2029 due to reflect a higher mix of pre-paid and advance-billed service plans, while following historical trends.</t>
        </r>
      </text>
    </comment>
    <comment ref="P31" authorId="2" shapeId="0" xr:uid="{E94A100F-73A6-4C28-A3C3-184B5E94911C}">
      <text>
        <r>
          <rPr>
            <b/>
            <sz val="9"/>
            <color indexed="81"/>
            <rFont val="Tahoma"/>
            <family val="2"/>
          </rPr>
          <t>Eneias Olensky:</t>
        </r>
        <r>
          <rPr>
            <sz val="9"/>
            <color indexed="81"/>
            <rFont val="Tahoma"/>
            <family val="2"/>
          </rPr>
          <t xml:space="preserve">
Deferred revenue continues to rise in 2029 due to reflect a higher mix of pre-paid and advance-billed service plans, while following historical trends.</t>
        </r>
      </text>
    </comment>
    <comment ref="L32" authorId="2" shapeId="0" xr:uid="{DB19B8D5-87DD-40E9-9A14-EBA564D90DB2}">
      <text>
        <r>
          <rPr>
            <b/>
            <sz val="9"/>
            <color indexed="81"/>
            <rFont val="Tahoma"/>
            <family val="2"/>
          </rPr>
          <t>Eneias Olensky:</t>
        </r>
        <r>
          <rPr>
            <sz val="9"/>
            <color indexed="81"/>
            <rFont val="Tahoma"/>
            <family val="2"/>
          </rPr>
          <t xml:space="preserve">
Short-term operating lease liabilities reflects a steady pattern of lease renewals and relocations within the retail footprint.</t>
        </r>
      </text>
    </comment>
    <comment ref="M32" authorId="2" shapeId="0" xr:uid="{6DE12E46-D105-4E58-A305-AEF653B4820E}">
      <text>
        <r>
          <rPr>
            <b/>
            <sz val="9"/>
            <color indexed="81"/>
            <rFont val="Tahoma"/>
            <family val="2"/>
          </rPr>
          <t>Eneias Olensky:</t>
        </r>
        <r>
          <rPr>
            <sz val="9"/>
            <color indexed="81"/>
            <rFont val="Tahoma"/>
            <family val="2"/>
          </rPr>
          <t xml:space="preserve">
Short-term operating lease liabilities reflects a steady pattern of lease renewals and relocations within the retail footprint.</t>
        </r>
      </text>
    </comment>
    <comment ref="N32" authorId="2" shapeId="0" xr:uid="{2DA6C5B7-5C38-424E-994C-10BD191ABABC}">
      <text>
        <r>
          <rPr>
            <b/>
            <sz val="9"/>
            <color indexed="81"/>
            <rFont val="Tahoma"/>
            <family val="2"/>
          </rPr>
          <t>Eneias Olensky:</t>
        </r>
        <r>
          <rPr>
            <sz val="9"/>
            <color indexed="81"/>
            <rFont val="Tahoma"/>
            <family val="2"/>
          </rPr>
          <t xml:space="preserve">
Short-term operating lease liabilities reflects a steady pattern of lease renewals and relocations within the retail footprint.</t>
        </r>
      </text>
    </comment>
    <comment ref="O32" authorId="2" shapeId="0" xr:uid="{256E8B14-081E-4172-89F5-4506F839F655}">
      <text>
        <r>
          <rPr>
            <b/>
            <sz val="9"/>
            <color indexed="81"/>
            <rFont val="Tahoma"/>
            <family val="2"/>
          </rPr>
          <t>Eneias Olensky:</t>
        </r>
        <r>
          <rPr>
            <sz val="9"/>
            <color indexed="81"/>
            <rFont val="Tahoma"/>
            <family val="2"/>
          </rPr>
          <t xml:space="preserve">
Short-term operating lease liabilities reflects a steady pattern of lease renewals and relocations within the retail footprint.</t>
        </r>
      </text>
    </comment>
    <comment ref="P32" authorId="2" shapeId="0" xr:uid="{5BCED1B9-BC0D-4C35-950A-2EAE6B80E0E2}">
      <text>
        <r>
          <rPr>
            <b/>
            <sz val="9"/>
            <color indexed="81"/>
            <rFont val="Tahoma"/>
            <family val="2"/>
          </rPr>
          <t>Eneias Olensky:</t>
        </r>
        <r>
          <rPr>
            <sz val="9"/>
            <color indexed="81"/>
            <rFont val="Tahoma"/>
            <family val="2"/>
          </rPr>
          <t xml:space="preserve">
Short-term operating lease liabilities reflects a steady pattern of lease renewals and relocations within the retail footprint.</t>
        </r>
      </text>
    </comment>
    <comment ref="L33" authorId="2" shapeId="0" xr:uid="{61582083-FBAB-4DF2-AFC5-9CAFB03B8380}">
      <text>
        <r>
          <rPr>
            <b/>
            <sz val="9"/>
            <color indexed="81"/>
            <rFont val="Tahoma"/>
            <family val="2"/>
          </rPr>
          <t>Eneias Olensky:</t>
        </r>
        <r>
          <rPr>
            <sz val="9"/>
            <color indexed="81"/>
            <rFont val="Tahoma"/>
            <family val="2"/>
          </rPr>
          <t xml:space="preserve">
Short-term financing lease liabilities is expected to be stable, as it is reflecting contractual amortization of existing finance leases</t>
        </r>
      </text>
    </comment>
    <comment ref="M33" authorId="2" shapeId="0" xr:uid="{88B573B9-8445-4258-AD1D-0737717DAB0B}">
      <text>
        <r>
          <rPr>
            <b/>
            <sz val="9"/>
            <color indexed="81"/>
            <rFont val="Tahoma"/>
            <family val="2"/>
          </rPr>
          <t>Eneias Olensky:</t>
        </r>
        <r>
          <rPr>
            <sz val="9"/>
            <color indexed="81"/>
            <rFont val="Tahoma"/>
            <family val="2"/>
          </rPr>
          <t xml:space="preserve">
Short-term financing lease liabilities is expected to be stable, as it is reflecting contractual amortization of existing finance leases</t>
        </r>
      </text>
    </comment>
    <comment ref="N33" authorId="2" shapeId="0" xr:uid="{DB7BD3DE-024D-42FF-9F34-BF8DC017EB41}">
      <text>
        <r>
          <rPr>
            <b/>
            <sz val="9"/>
            <color indexed="81"/>
            <rFont val="Tahoma"/>
            <family val="2"/>
          </rPr>
          <t>Eneias Olensky:</t>
        </r>
        <r>
          <rPr>
            <sz val="9"/>
            <color indexed="81"/>
            <rFont val="Tahoma"/>
            <family val="2"/>
          </rPr>
          <t xml:space="preserve">
Short-term financing lease liabilities is expected to be stable, as it is reflecting contractual amortization of existing finance leases</t>
        </r>
      </text>
    </comment>
    <comment ref="O33" authorId="2" shapeId="0" xr:uid="{3013D75E-123A-440E-A655-3AF7C6923B44}">
      <text>
        <r>
          <rPr>
            <b/>
            <sz val="9"/>
            <color indexed="81"/>
            <rFont val="Tahoma"/>
            <family val="2"/>
          </rPr>
          <t>Eneias Olensky:</t>
        </r>
        <r>
          <rPr>
            <sz val="9"/>
            <color indexed="81"/>
            <rFont val="Tahoma"/>
            <family val="2"/>
          </rPr>
          <t xml:space="preserve">
Short-term financing lease liabilities is expected to be stable, as it is reflecting contractual amortization of existing finance leases</t>
        </r>
      </text>
    </comment>
    <comment ref="P33" authorId="2" shapeId="0" xr:uid="{DA0A5EDF-0151-492F-9C6D-11196B24D28E}">
      <text>
        <r>
          <rPr>
            <b/>
            <sz val="9"/>
            <color indexed="81"/>
            <rFont val="Tahoma"/>
            <family val="2"/>
          </rPr>
          <t>Eneias Olensky:</t>
        </r>
        <r>
          <rPr>
            <sz val="9"/>
            <color indexed="81"/>
            <rFont val="Tahoma"/>
            <family val="2"/>
          </rPr>
          <t xml:space="preserve">
Short-term financing lease liabilities is expected to be stable, as it is reflecting contractual amortization of existing finance leases</t>
        </r>
      </text>
    </comment>
    <comment ref="L34" authorId="2" shapeId="0" xr:uid="{6E211C3E-0D80-4010-96E4-2662E7E62D3B}">
      <text>
        <r>
          <rPr>
            <b/>
            <sz val="9"/>
            <color indexed="81"/>
            <rFont val="Tahoma"/>
            <family val="2"/>
          </rPr>
          <t>Eneias Olensky:</t>
        </r>
        <r>
          <rPr>
            <sz val="9"/>
            <color indexed="81"/>
            <rFont val="Tahoma"/>
            <family val="2"/>
          </rPr>
          <t xml:space="preserve">
Other current liabilities is expected to increase in order to reflect accrued compensation, marketing icnentives and other liabilities.</t>
        </r>
      </text>
    </comment>
    <comment ref="M34" authorId="2" shapeId="0" xr:uid="{A097105A-AEEA-4BB2-8E2A-69D1F0BC47E6}">
      <text>
        <r>
          <rPr>
            <b/>
            <sz val="9"/>
            <color indexed="81"/>
            <rFont val="Tahoma"/>
            <family val="2"/>
          </rPr>
          <t>Eneias Olensky:</t>
        </r>
        <r>
          <rPr>
            <sz val="9"/>
            <color indexed="81"/>
            <rFont val="Tahoma"/>
            <family val="2"/>
          </rPr>
          <t xml:space="preserve">
Other current liabilities is expected to increase in order to reflect accrued compensation, marketing icnentives and other liabilities.</t>
        </r>
      </text>
    </comment>
    <comment ref="N34" authorId="2" shapeId="0" xr:uid="{18D45430-CE1E-4709-9F7A-3C644EFC8047}">
      <text>
        <r>
          <rPr>
            <b/>
            <sz val="9"/>
            <color indexed="81"/>
            <rFont val="Tahoma"/>
            <family val="2"/>
          </rPr>
          <t>Eneias Olensky:</t>
        </r>
        <r>
          <rPr>
            <sz val="9"/>
            <color indexed="81"/>
            <rFont val="Tahoma"/>
            <family val="2"/>
          </rPr>
          <t xml:space="preserve">
Other current liabilities is expected to increase in order to reflect accrued compensation, marketing icnentives and other liabilities.</t>
        </r>
      </text>
    </comment>
    <comment ref="O34" authorId="2" shapeId="0" xr:uid="{824F0715-A10E-4DA1-BB07-AA88C02D2567}">
      <text>
        <r>
          <rPr>
            <b/>
            <sz val="9"/>
            <color indexed="81"/>
            <rFont val="Tahoma"/>
            <family val="2"/>
          </rPr>
          <t>Eneias Olensky:</t>
        </r>
        <r>
          <rPr>
            <sz val="9"/>
            <color indexed="81"/>
            <rFont val="Tahoma"/>
            <family val="2"/>
          </rPr>
          <t xml:space="preserve">
Other current liabilities is expected to increase in order to reflect accrued compensation, marketing icnentives and other liabilities.</t>
        </r>
      </text>
    </comment>
    <comment ref="P34" authorId="2" shapeId="0" xr:uid="{6B2D9DEE-FF22-4EEE-AC21-9FB8CA7CF454}">
      <text>
        <r>
          <rPr>
            <b/>
            <sz val="9"/>
            <color indexed="81"/>
            <rFont val="Tahoma"/>
            <family val="2"/>
          </rPr>
          <t>Eneias Olensky:</t>
        </r>
        <r>
          <rPr>
            <sz val="9"/>
            <color indexed="81"/>
            <rFont val="Tahoma"/>
            <family val="2"/>
          </rPr>
          <t xml:space="preserve">
Other current liabilities is expected to increase in order to reflect accrued compensation, marketing icnentives and other liabilities.</t>
        </r>
      </text>
    </comment>
    <comment ref="L36" authorId="2" shapeId="0" xr:uid="{0B9F3095-980B-4E42-BBEF-14075F06F80D}">
      <text>
        <r>
          <rPr>
            <b/>
            <sz val="9"/>
            <color indexed="81"/>
            <rFont val="Tahoma"/>
            <family val="2"/>
          </rPr>
          <t>Eneias Olensky:</t>
        </r>
        <r>
          <rPr>
            <sz val="9"/>
            <color indexed="81"/>
            <rFont val="Tahoma"/>
            <family val="2"/>
          </rPr>
          <t xml:space="preserve">
Tower obligations are expected to remain elevated due to ongoing site additions and long-dated lease terms.</t>
        </r>
      </text>
    </comment>
    <comment ref="M36" authorId="2" shapeId="0" xr:uid="{80CA68D1-7F80-4478-9B6C-F939EB16E157}">
      <text>
        <r>
          <rPr>
            <b/>
            <sz val="9"/>
            <color indexed="81"/>
            <rFont val="Tahoma"/>
            <family val="2"/>
          </rPr>
          <t>Eneias Olensky:</t>
        </r>
        <r>
          <rPr>
            <sz val="9"/>
            <color indexed="81"/>
            <rFont val="Tahoma"/>
            <family val="2"/>
          </rPr>
          <t xml:space="preserve">
Tower obligations are expected to remain elevated due to ongoing site additions and long-dated lease terms.</t>
        </r>
      </text>
    </comment>
    <comment ref="N36" authorId="2" shapeId="0" xr:uid="{91A496E4-8CD5-4DEB-94DA-93EF18B32486}">
      <text>
        <r>
          <rPr>
            <b/>
            <sz val="9"/>
            <color indexed="81"/>
            <rFont val="Tahoma"/>
            <family val="2"/>
          </rPr>
          <t>Eneias Olensky:</t>
        </r>
        <r>
          <rPr>
            <sz val="9"/>
            <color indexed="81"/>
            <rFont val="Tahoma"/>
            <family val="2"/>
          </rPr>
          <t xml:space="preserve">
Tower obligations are expected to remain elevated due to ongoing site additions and long-dated lease terms.</t>
        </r>
      </text>
    </comment>
    <comment ref="O36" authorId="2" shapeId="0" xr:uid="{ADB7ED43-040E-461F-BD9F-08C95304982E}">
      <text>
        <r>
          <rPr>
            <b/>
            <sz val="9"/>
            <color indexed="81"/>
            <rFont val="Tahoma"/>
            <family val="2"/>
          </rPr>
          <t>Eneias Olensky:</t>
        </r>
        <r>
          <rPr>
            <sz val="9"/>
            <color indexed="81"/>
            <rFont val="Tahoma"/>
            <family val="2"/>
          </rPr>
          <t xml:space="preserve">
Tower obligations are expected to remain elevated due to ongoing site additions and long-dated lease terms.</t>
        </r>
      </text>
    </comment>
    <comment ref="P36" authorId="2" shapeId="0" xr:uid="{BCD27E0B-52EA-4CA8-AE68-2D67F7041E98}">
      <text>
        <r>
          <rPr>
            <b/>
            <sz val="9"/>
            <color indexed="81"/>
            <rFont val="Tahoma"/>
            <family val="2"/>
          </rPr>
          <t>Eneias Olensky:</t>
        </r>
        <r>
          <rPr>
            <sz val="9"/>
            <color indexed="81"/>
            <rFont val="Tahoma"/>
            <family val="2"/>
          </rPr>
          <t xml:space="preserve">
Tower obligations are expected to remain elevated due to ongoing site additions and long-dated lease terms.</t>
        </r>
      </text>
    </comment>
    <comment ref="L37" authorId="2" shapeId="0" xr:uid="{F59EE213-1E47-4A8E-A61D-DC6BDE62E741}">
      <text>
        <r>
          <rPr>
            <b/>
            <sz val="9"/>
            <color indexed="81"/>
            <rFont val="Tahoma"/>
            <family val="2"/>
          </rPr>
          <t>Eneias Olensky:</t>
        </r>
        <r>
          <rPr>
            <sz val="9"/>
            <color indexed="81"/>
            <rFont val="Tahoma"/>
            <family val="2"/>
          </rPr>
          <t xml:space="preserve">
Deferred tax liabilities is expected to increase due to elevated capital investment in network infrastructure</t>
        </r>
      </text>
    </comment>
    <comment ref="M37" authorId="2" shapeId="0" xr:uid="{50C3CB34-2043-426A-8926-1F4F3776AC25}">
      <text>
        <r>
          <rPr>
            <b/>
            <sz val="9"/>
            <color indexed="81"/>
            <rFont val="Tahoma"/>
            <family val="2"/>
          </rPr>
          <t>Eneias Olensky:</t>
        </r>
        <r>
          <rPr>
            <sz val="9"/>
            <color indexed="81"/>
            <rFont val="Tahoma"/>
            <family val="2"/>
          </rPr>
          <t xml:space="preserve">
Deferred tax liabilities is expected to increase due to elevated capital investment in network infrastructure</t>
        </r>
      </text>
    </comment>
    <comment ref="N37" authorId="2" shapeId="0" xr:uid="{14B15862-06ED-4DFE-A871-75E7157BAF54}">
      <text>
        <r>
          <rPr>
            <b/>
            <sz val="9"/>
            <color indexed="81"/>
            <rFont val="Tahoma"/>
            <family val="2"/>
          </rPr>
          <t>Eneias Olensky:</t>
        </r>
        <r>
          <rPr>
            <sz val="9"/>
            <color indexed="81"/>
            <rFont val="Tahoma"/>
            <family val="2"/>
          </rPr>
          <t xml:space="preserve">
Deferred tax liabilities is expected to increase due to elevated capital investment in network infrastructure</t>
        </r>
      </text>
    </comment>
    <comment ref="O37" authorId="2" shapeId="0" xr:uid="{04501CD0-A1EE-4512-983D-5CFFF3A8FE4D}">
      <text>
        <r>
          <rPr>
            <b/>
            <sz val="9"/>
            <color indexed="81"/>
            <rFont val="Tahoma"/>
            <family val="2"/>
          </rPr>
          <t>Eneias Olensky:</t>
        </r>
        <r>
          <rPr>
            <sz val="9"/>
            <color indexed="81"/>
            <rFont val="Tahoma"/>
            <family val="2"/>
          </rPr>
          <t xml:space="preserve">
Deferred tax liabilities is expected to increase due to elevated capital investment in network infrastructure</t>
        </r>
      </text>
    </comment>
    <comment ref="P37" authorId="2" shapeId="0" xr:uid="{F4A8C85F-3395-4456-8123-EFCB6274BBC9}">
      <text>
        <r>
          <rPr>
            <b/>
            <sz val="9"/>
            <color indexed="81"/>
            <rFont val="Tahoma"/>
            <family val="2"/>
          </rPr>
          <t>Eneias Olensky:</t>
        </r>
        <r>
          <rPr>
            <sz val="9"/>
            <color indexed="81"/>
            <rFont val="Tahoma"/>
            <family val="2"/>
          </rPr>
          <t xml:space="preserve">
Deferred tax liabilities is expected to increase due to elevated capital investment in network infrastructure</t>
        </r>
      </text>
    </comment>
    <comment ref="L38" authorId="2" shapeId="0" xr:uid="{EB503819-E63F-48D4-A5A7-D11176BF339E}">
      <text>
        <r>
          <rPr>
            <b/>
            <sz val="9"/>
            <color indexed="81"/>
            <rFont val="Tahoma"/>
            <family val="2"/>
          </rPr>
          <t>Eneias Olensky:</t>
        </r>
        <r>
          <rPr>
            <sz val="9"/>
            <color indexed="81"/>
            <rFont val="Tahoma"/>
            <family val="2"/>
          </rPr>
          <t xml:space="preserve">
Long term operating lease liabilities are expected to increase reflecting ongoing retail and office leases.</t>
        </r>
      </text>
    </comment>
    <comment ref="M38" authorId="2" shapeId="0" xr:uid="{69C4A4BB-B825-458B-8739-D454E37FC5DA}">
      <text>
        <r>
          <rPr>
            <b/>
            <sz val="9"/>
            <color indexed="81"/>
            <rFont val="Tahoma"/>
            <family val="2"/>
          </rPr>
          <t>Eneias Olensky:</t>
        </r>
        <r>
          <rPr>
            <sz val="9"/>
            <color indexed="81"/>
            <rFont val="Tahoma"/>
            <family val="2"/>
          </rPr>
          <t xml:space="preserve">
Long term operating lease liabilities are expected to increase reflecting ongoing retail and office leases.</t>
        </r>
      </text>
    </comment>
    <comment ref="N38" authorId="2" shapeId="0" xr:uid="{A650386D-2347-4731-B247-A9DCA5444D81}">
      <text>
        <r>
          <rPr>
            <b/>
            <sz val="9"/>
            <color indexed="81"/>
            <rFont val="Tahoma"/>
            <family val="2"/>
          </rPr>
          <t>Eneias Olensky:</t>
        </r>
        <r>
          <rPr>
            <sz val="9"/>
            <color indexed="81"/>
            <rFont val="Tahoma"/>
            <family val="2"/>
          </rPr>
          <t xml:space="preserve">
Long term operating lease liabilities are expected to increase reflecting ongoing retail and office leases.</t>
        </r>
      </text>
    </comment>
    <comment ref="O38" authorId="2" shapeId="0" xr:uid="{BE702C81-D6EC-4162-88A7-E8D10ACB18C9}">
      <text>
        <r>
          <rPr>
            <b/>
            <sz val="9"/>
            <color indexed="81"/>
            <rFont val="Tahoma"/>
            <family val="2"/>
          </rPr>
          <t>Eneias Olensky:</t>
        </r>
        <r>
          <rPr>
            <sz val="9"/>
            <color indexed="81"/>
            <rFont val="Tahoma"/>
            <family val="2"/>
          </rPr>
          <t xml:space="preserve">
Long term operating lease liabilities are expected to increase reflecting ongoing retail and office leases.</t>
        </r>
      </text>
    </comment>
    <comment ref="P38" authorId="2" shapeId="0" xr:uid="{376FCD06-FB5F-48C9-A282-1C1698A5CE3C}">
      <text>
        <r>
          <rPr>
            <b/>
            <sz val="9"/>
            <color indexed="81"/>
            <rFont val="Tahoma"/>
            <family val="2"/>
          </rPr>
          <t>Eneias Olensky:</t>
        </r>
        <r>
          <rPr>
            <sz val="9"/>
            <color indexed="81"/>
            <rFont val="Tahoma"/>
            <family val="2"/>
          </rPr>
          <t xml:space="preserve">
Long term operating lease liabilities are expected to increase reflecting ongoing retail and office leases.</t>
        </r>
      </text>
    </comment>
    <comment ref="L39" authorId="2" shapeId="0" xr:uid="{8174C0D8-A9D1-4AC7-A30D-876D64F04DEE}">
      <text>
        <r>
          <rPr>
            <b/>
            <sz val="9"/>
            <color indexed="81"/>
            <rFont val="Tahoma"/>
            <family val="2"/>
          </rPr>
          <t>Eneias Olensky:</t>
        </r>
        <r>
          <rPr>
            <sz val="9"/>
            <color indexed="81"/>
            <rFont val="Tahoma"/>
            <family val="2"/>
          </rPr>
          <t xml:space="preserve">
Financing lease liabilities are expected to decrease reflecting the expiration of legacy network and tower finance leases.</t>
        </r>
      </text>
    </comment>
    <comment ref="M39" authorId="2" shapeId="0" xr:uid="{DCF806D3-CF6C-41A1-AE27-BCDD13413E77}">
      <text>
        <r>
          <rPr>
            <b/>
            <sz val="9"/>
            <color indexed="81"/>
            <rFont val="Tahoma"/>
            <family val="2"/>
          </rPr>
          <t>Eneias Olensky:</t>
        </r>
        <r>
          <rPr>
            <sz val="9"/>
            <color indexed="81"/>
            <rFont val="Tahoma"/>
            <family val="2"/>
          </rPr>
          <t xml:space="preserve">
Financing lease liabilities are expected to decrease reflecting the expiration of legacy network and tower finance leases.</t>
        </r>
      </text>
    </comment>
    <comment ref="N39" authorId="2" shapeId="0" xr:uid="{9453F9A5-7562-44C0-B6FD-D6DF1B2EFC16}">
      <text>
        <r>
          <rPr>
            <b/>
            <sz val="9"/>
            <color indexed="81"/>
            <rFont val="Tahoma"/>
            <family val="2"/>
          </rPr>
          <t>Eneias Olensky:</t>
        </r>
        <r>
          <rPr>
            <sz val="9"/>
            <color indexed="81"/>
            <rFont val="Tahoma"/>
            <family val="2"/>
          </rPr>
          <t xml:space="preserve">
Financing lease liabilities are expected to decrease reflecting the expiration of legacy network and tower finance leases.</t>
        </r>
      </text>
    </comment>
    <comment ref="O39" authorId="2" shapeId="0" xr:uid="{BFA2E879-8F11-49EB-A44F-DA66D4BC5498}">
      <text>
        <r>
          <rPr>
            <b/>
            <sz val="9"/>
            <color indexed="81"/>
            <rFont val="Tahoma"/>
            <family val="2"/>
          </rPr>
          <t>Eneias Olensky:</t>
        </r>
        <r>
          <rPr>
            <sz val="9"/>
            <color indexed="81"/>
            <rFont val="Tahoma"/>
            <family val="2"/>
          </rPr>
          <t xml:space="preserve">
Financing lease liabilities are expected to decrease reflecting the expiration of legacy network and tower finance leases.</t>
        </r>
      </text>
    </comment>
    <comment ref="P39" authorId="2" shapeId="0" xr:uid="{4E0F57BF-D338-4894-9223-B59DAE60972A}">
      <text>
        <r>
          <rPr>
            <b/>
            <sz val="9"/>
            <color indexed="81"/>
            <rFont val="Tahoma"/>
            <family val="2"/>
          </rPr>
          <t>Eneias Olensky:</t>
        </r>
        <r>
          <rPr>
            <sz val="9"/>
            <color indexed="81"/>
            <rFont val="Tahoma"/>
            <family val="2"/>
          </rPr>
          <t xml:space="preserve">
Financing lease liabilities are expected to decrease reflecting the expiration of legacy network and tower finance leases.</t>
        </r>
      </text>
    </comment>
    <comment ref="L40" authorId="2" shapeId="0" xr:uid="{03E1EB52-38C3-4DEA-9970-026B287593AE}">
      <text>
        <r>
          <rPr>
            <b/>
            <sz val="9"/>
            <color indexed="81"/>
            <rFont val="Tahoma"/>
            <family val="2"/>
          </rPr>
          <t>Eneias Olensky:</t>
        </r>
        <r>
          <rPr>
            <sz val="9"/>
            <color indexed="81"/>
            <rFont val="Tahoma"/>
            <family val="2"/>
          </rPr>
          <t xml:space="preserve">
Other long-term liabilities are expected to decline reflecting the ongoing resolution of legacy accruals and other obligations.</t>
        </r>
      </text>
    </comment>
    <comment ref="M40" authorId="2" shapeId="0" xr:uid="{618EDC09-9782-4E86-87C8-7A49B29F4363}">
      <text>
        <r>
          <rPr>
            <b/>
            <sz val="9"/>
            <color indexed="81"/>
            <rFont val="Tahoma"/>
            <family val="2"/>
          </rPr>
          <t>Eneias Olensky:</t>
        </r>
        <r>
          <rPr>
            <sz val="9"/>
            <color indexed="81"/>
            <rFont val="Tahoma"/>
            <family val="2"/>
          </rPr>
          <t xml:space="preserve">
Other long-term liabilities are expected to decline reflecting the ongoing resolution of legacy accruals and other obligations.</t>
        </r>
      </text>
    </comment>
    <comment ref="N40" authorId="2" shapeId="0" xr:uid="{A9B3ABD5-76E5-4CD9-8F36-EDA19DEAA26D}">
      <text>
        <r>
          <rPr>
            <b/>
            <sz val="9"/>
            <color indexed="81"/>
            <rFont val="Tahoma"/>
            <family val="2"/>
          </rPr>
          <t>Eneias Olensky:</t>
        </r>
        <r>
          <rPr>
            <sz val="9"/>
            <color indexed="81"/>
            <rFont val="Tahoma"/>
            <family val="2"/>
          </rPr>
          <t xml:space="preserve">
Other long-term liabilities are expected to decline reflecting the ongoing resolution of legacy accruals and other obligations.</t>
        </r>
      </text>
    </comment>
    <comment ref="O40" authorId="2" shapeId="0" xr:uid="{26BC6552-F2AC-456D-A109-037ED4C21902}">
      <text>
        <r>
          <rPr>
            <b/>
            <sz val="9"/>
            <color indexed="81"/>
            <rFont val="Tahoma"/>
            <family val="2"/>
          </rPr>
          <t>Eneias Olensky:</t>
        </r>
        <r>
          <rPr>
            <sz val="9"/>
            <color indexed="81"/>
            <rFont val="Tahoma"/>
            <family val="2"/>
          </rPr>
          <t xml:space="preserve">
Other long-term liabilities are expected to decline reflecting the ongoing resolution of legacy accruals and other obligations.</t>
        </r>
      </text>
    </comment>
    <comment ref="P40" authorId="2" shapeId="0" xr:uid="{25A93623-882D-48F9-B575-61A5DCA6E6F6}">
      <text>
        <r>
          <rPr>
            <b/>
            <sz val="9"/>
            <color indexed="81"/>
            <rFont val="Tahoma"/>
            <family val="2"/>
          </rPr>
          <t>Eneias Olensky:</t>
        </r>
        <r>
          <rPr>
            <sz val="9"/>
            <color indexed="81"/>
            <rFont val="Tahoma"/>
            <family val="2"/>
          </rPr>
          <t xml:space="preserve">
Other long-term liabilities are expected to decline reflecting the ongoing resolution of legacy accruals and other obligations.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Jayson Soza</author>
    <author>Chineme Oriaku</author>
    <author>Esaa</author>
    <author>Karishma Shah</author>
  </authors>
  <commentList>
    <comment ref="C19" authorId="0" shapeId="0" xr:uid="{0EC82869-4B89-46A0-AF74-18F9420A1A59}">
      <text>
        <r>
          <rPr>
            <b/>
            <sz val="9"/>
            <color indexed="81"/>
            <rFont val="Tahoma"/>
            <family val="2"/>
          </rPr>
          <t>Jayson Soza:</t>
        </r>
        <r>
          <rPr>
            <sz val="9"/>
            <color indexed="81"/>
            <rFont val="Tahoma"/>
            <family val="2"/>
          </rPr>
          <t xml:space="preserve">
VZ Income Statement for Fiscal Year 2025</t>
        </r>
      </text>
    </comment>
    <comment ref="G19" authorId="1" shapeId="0" xr:uid="{51775656-D55F-49FC-9088-93C9D40D83FC}">
      <text>
        <r>
          <rPr>
            <b/>
            <sz val="9"/>
            <color indexed="81"/>
            <rFont val="Tahoma"/>
            <family val="2"/>
          </rPr>
          <t>Chineme Oriaku:</t>
        </r>
        <r>
          <rPr>
            <sz val="9"/>
            <color indexed="81"/>
            <rFont val="Tahoma"/>
            <family val="2"/>
          </rPr>
          <t xml:space="preserve">
T, 10k, Year Ended 2025, pg. 42</t>
        </r>
      </text>
    </comment>
    <comment ref="K19" authorId="1" shapeId="0" xr:uid="{9F81D6AB-FD86-46E8-9E1D-8BCB9D479A49}">
      <text>
        <r>
          <rPr>
            <b/>
            <sz val="9"/>
            <color indexed="81"/>
            <rFont val="Tahoma"/>
            <family val="2"/>
          </rPr>
          <t>Chineme Oriaku:</t>
        </r>
        <r>
          <rPr>
            <sz val="9"/>
            <color indexed="81"/>
            <rFont val="Tahoma"/>
            <family val="2"/>
          </rPr>
          <t xml:space="preserve">
CHTR, 10k, Year Ended 2025, pg. 43</t>
        </r>
      </text>
    </comment>
    <comment ref="C20" authorId="0" shapeId="0" xr:uid="{C7A4A87C-85CC-4A33-83A6-EDD30B4FF98E}">
      <text>
        <r>
          <rPr>
            <b/>
            <sz val="9"/>
            <color indexed="81"/>
            <rFont val="Tahoma"/>
            <family val="2"/>
          </rPr>
          <t>Jayson Soza:</t>
        </r>
        <r>
          <rPr>
            <sz val="9"/>
            <color indexed="81"/>
            <rFont val="Tahoma"/>
            <family val="2"/>
          </rPr>
          <t xml:space="preserve">
VZ Income Statement for Fiscal Year 2025</t>
        </r>
      </text>
    </comment>
    <comment ref="G20" authorId="1" shapeId="0" xr:uid="{B79E9FB2-29EE-48FB-8FEA-1EDE555ABC67}">
      <text>
        <r>
          <rPr>
            <b/>
            <sz val="9"/>
            <color indexed="81"/>
            <rFont val="Tahoma"/>
            <family val="2"/>
          </rPr>
          <t>Chineme Oriaku:</t>
        </r>
        <r>
          <rPr>
            <sz val="9"/>
            <color indexed="81"/>
            <rFont val="Tahoma"/>
            <family val="2"/>
          </rPr>
          <t xml:space="preserve">
T, 10k, Year Ended 2025, pg. 42</t>
        </r>
      </text>
    </comment>
    <comment ref="K20" authorId="1" shapeId="0" xr:uid="{3B43D10A-7EA1-450A-9266-94ACB1BE56BF}">
      <text>
        <r>
          <rPr>
            <b/>
            <sz val="9"/>
            <color indexed="81"/>
            <rFont val="Tahoma"/>
            <family val="2"/>
          </rPr>
          <t>Chineme Oriaku:</t>
        </r>
        <r>
          <rPr>
            <sz val="9"/>
            <color indexed="81"/>
            <rFont val="Tahoma"/>
            <family val="2"/>
          </rPr>
          <t xml:space="preserve">
CHTR, 10k, Year Ended 2025, pg. 43</t>
        </r>
      </text>
    </comment>
    <comment ref="O20" authorId="0" shapeId="0" xr:uid="{3BD9E463-871E-49AD-AADB-1B9A18B42F43}">
      <text>
        <r>
          <rPr>
            <b/>
            <sz val="9"/>
            <color indexed="81"/>
            <rFont val="Tahoma"/>
            <family val="2"/>
          </rPr>
          <t>Jayson Soza:</t>
        </r>
        <r>
          <rPr>
            <sz val="9"/>
            <color indexed="81"/>
            <rFont val="Tahoma"/>
            <family val="2"/>
          </rPr>
          <t xml:space="preserve">
VZ Cashflow Statement for Fiscal Year 2025</t>
        </r>
      </text>
    </comment>
    <comment ref="P20" authorId="0" shapeId="0" xr:uid="{C1EBAA5D-F1F2-469B-B60F-FC3661FE25D5}">
      <text>
        <r>
          <rPr>
            <b/>
            <sz val="9"/>
            <color indexed="81"/>
            <rFont val="Tahoma"/>
            <family val="2"/>
          </rPr>
          <t>Jayson Soza:</t>
        </r>
        <r>
          <rPr>
            <sz val="9"/>
            <color indexed="81"/>
            <rFont val="Tahoma"/>
            <family val="2"/>
          </rPr>
          <t xml:space="preserve">
VZ Cashflow Statement for Fiscal Year 2025</t>
        </r>
      </text>
    </comment>
    <comment ref="R20" authorId="0" shapeId="0" xr:uid="{BD46C6FF-4A19-4275-8CF2-2D8CF253B27E}">
      <text>
        <r>
          <rPr>
            <b/>
            <sz val="9"/>
            <color indexed="81"/>
            <rFont val="Tahoma"/>
            <family val="2"/>
          </rPr>
          <t>Jayson Soza:</t>
        </r>
        <r>
          <rPr>
            <sz val="9"/>
            <color indexed="81"/>
            <rFont val="Tahoma"/>
            <family val="2"/>
          </rPr>
          <t xml:space="preserve">
VZ Cashflow Statement for Fiscal Year 2025</t>
        </r>
      </text>
    </comment>
    <comment ref="C21" authorId="0" shapeId="0" xr:uid="{5B9DF4FC-F7E5-4881-A215-F5BD18B60096}">
      <text>
        <r>
          <rPr>
            <b/>
            <sz val="9"/>
            <color indexed="81"/>
            <rFont val="Tahoma"/>
            <family val="2"/>
          </rPr>
          <t>Jayson Soza:</t>
        </r>
        <r>
          <rPr>
            <sz val="9"/>
            <color indexed="81"/>
            <rFont val="Tahoma"/>
            <family val="2"/>
          </rPr>
          <t xml:space="preserve">
VZ Income Statement for Fiscal Year 2025
</t>
        </r>
      </text>
    </comment>
    <comment ref="G21" authorId="1" shapeId="0" xr:uid="{E9EB9B05-AA63-406B-9112-BB11275A0AD0}">
      <text>
        <r>
          <rPr>
            <b/>
            <sz val="9"/>
            <color indexed="81"/>
            <rFont val="Tahoma"/>
            <family val="2"/>
          </rPr>
          <t>Chineme Oriaku:</t>
        </r>
        <r>
          <rPr>
            <sz val="9"/>
            <color indexed="81"/>
            <rFont val="Tahoma"/>
            <family val="2"/>
          </rPr>
          <t xml:space="preserve">
T, 10k, Year Ended 2025, pg. 42</t>
        </r>
      </text>
    </comment>
    <comment ref="K21" authorId="1" shapeId="0" xr:uid="{EA672B1A-410B-45F5-8EB6-EE698AF4BFA4}">
      <text>
        <r>
          <rPr>
            <b/>
            <sz val="9"/>
            <color indexed="81"/>
            <rFont val="Tahoma"/>
            <family val="2"/>
          </rPr>
          <t>Chineme Oriaku:</t>
        </r>
        <r>
          <rPr>
            <sz val="9"/>
            <color indexed="81"/>
            <rFont val="Tahoma"/>
            <family val="2"/>
          </rPr>
          <t xml:space="preserve">
CHTR, 10k, Year Ended 2025, pg. 43</t>
        </r>
      </text>
    </comment>
    <comment ref="O21" authorId="1" shapeId="0" xr:uid="{BB9F109E-F821-422B-A6D8-C5EA7E8D9F3E}">
      <text>
        <r>
          <rPr>
            <b/>
            <sz val="9"/>
            <color indexed="81"/>
            <rFont val="Tahoma"/>
            <family val="2"/>
          </rPr>
          <t>Chineme Oriaku:</t>
        </r>
        <r>
          <rPr>
            <sz val="9"/>
            <color indexed="81"/>
            <rFont val="Tahoma"/>
            <family val="2"/>
          </rPr>
          <t xml:space="preserve">
T, 10k, Year Ended 2025, pg. 44</t>
        </r>
      </text>
    </comment>
    <comment ref="P21" authorId="1" shapeId="0" xr:uid="{878AE36A-A3FB-4B02-8AA7-BC25DCC6EB95}">
      <text>
        <r>
          <rPr>
            <b/>
            <sz val="9"/>
            <color indexed="81"/>
            <rFont val="Tahoma"/>
            <family val="2"/>
          </rPr>
          <t>Chineme Oriaku:</t>
        </r>
        <r>
          <rPr>
            <sz val="9"/>
            <color indexed="81"/>
            <rFont val="Tahoma"/>
            <family val="2"/>
          </rPr>
          <t xml:space="preserve">
T, 10k, Year Ended 2025, pg. 42</t>
        </r>
      </text>
    </comment>
    <comment ref="R21" authorId="1" shapeId="0" xr:uid="{3AB0CC6A-4622-431C-931E-700C7403B70B}">
      <text>
        <r>
          <rPr>
            <b/>
            <sz val="9"/>
            <color indexed="81"/>
            <rFont val="Tahoma"/>
            <family val="2"/>
          </rPr>
          <t>Chineme Oriaku:</t>
        </r>
        <r>
          <rPr>
            <sz val="9"/>
            <color indexed="81"/>
            <rFont val="Tahoma"/>
            <family val="2"/>
          </rPr>
          <t xml:space="preserve">
T, 10k, Year Ended 2025, pg. 42</t>
        </r>
      </text>
    </comment>
    <comment ref="O22" authorId="1" shapeId="0" xr:uid="{E2D40BEF-90E0-4F75-A7C4-0E9675C43C50}">
      <text>
        <r>
          <rPr>
            <b/>
            <sz val="9"/>
            <color indexed="81"/>
            <rFont val="Tahoma"/>
            <family val="2"/>
          </rPr>
          <t>Chineme Oriaku:</t>
        </r>
        <r>
          <rPr>
            <sz val="9"/>
            <color indexed="81"/>
            <rFont val="Tahoma"/>
            <family val="2"/>
          </rPr>
          <t xml:space="preserve">
CHTR, 10k, Year Ended 2025, pg. F4</t>
        </r>
      </text>
    </comment>
    <comment ref="P22" authorId="1" shapeId="0" xr:uid="{A38B2178-8DC8-4C69-B5D9-8ADA5536102A}">
      <text>
        <r>
          <rPr>
            <b/>
            <sz val="9"/>
            <color indexed="81"/>
            <rFont val="Tahoma"/>
            <family val="2"/>
          </rPr>
          <t>Chineme Oriaku:</t>
        </r>
        <r>
          <rPr>
            <sz val="9"/>
            <color indexed="81"/>
            <rFont val="Tahoma"/>
            <family val="2"/>
          </rPr>
          <t xml:space="preserve">
CHTR, 10k, Year Ended 2025, pg. F4</t>
        </r>
      </text>
    </comment>
    <comment ref="R22" authorId="1" shapeId="0" xr:uid="{4666EBDB-731F-4037-8890-458FF1D7DE4B}">
      <text>
        <r>
          <rPr>
            <b/>
            <sz val="9"/>
            <color indexed="81"/>
            <rFont val="Tahoma"/>
            <family val="2"/>
          </rPr>
          <t>Chineme Oriaku:</t>
        </r>
        <r>
          <rPr>
            <sz val="9"/>
            <color indexed="81"/>
            <rFont val="Tahoma"/>
            <family val="2"/>
          </rPr>
          <t xml:space="preserve">
CHTR, 10k, Year Ended 2025, pg. F4</t>
        </r>
      </text>
    </comment>
    <comment ref="C23" authorId="0" shapeId="0" xr:uid="{531C00A0-603A-4664-8B57-36B4BFD47554}">
      <text>
        <r>
          <rPr>
            <b/>
            <sz val="9"/>
            <color indexed="81"/>
            <rFont val="Tahoma"/>
            <family val="2"/>
          </rPr>
          <t>Jayson Soza:</t>
        </r>
        <r>
          <rPr>
            <sz val="9"/>
            <color indexed="81"/>
            <rFont val="Tahoma"/>
            <family val="2"/>
          </rPr>
          <t xml:space="preserve">
VZ Income Statement for Fiscal Year 2025</t>
        </r>
      </text>
    </comment>
    <comment ref="G23" authorId="1" shapeId="0" xr:uid="{2D6C9E5F-AECC-45E3-B9F1-56ED36540BD4}">
      <text>
        <r>
          <rPr>
            <b/>
            <sz val="9"/>
            <color rgb="FF000000"/>
            <rFont val="Tahoma"/>
            <family val="2"/>
          </rPr>
          <t>Chineme Oriaku:</t>
        </r>
        <r>
          <rPr>
            <sz val="9"/>
            <color rgb="FF000000"/>
            <rFont val="Tahoma"/>
            <family val="2"/>
          </rPr>
          <t xml:space="preserve">
</t>
        </r>
        <r>
          <rPr>
            <sz val="9"/>
            <color rgb="FF000000"/>
            <rFont val="Tahoma"/>
            <family val="2"/>
          </rPr>
          <t>T, 10k, Year Ended 2025, pg. 42</t>
        </r>
      </text>
    </comment>
    <comment ref="K23" authorId="1" shapeId="0" xr:uid="{A036962C-044F-4B25-A7AB-483C36E9B492}">
      <text>
        <r>
          <rPr>
            <b/>
            <sz val="9"/>
            <color indexed="81"/>
            <rFont val="Tahoma"/>
            <family val="2"/>
          </rPr>
          <t>Chineme Oriaku:</t>
        </r>
        <r>
          <rPr>
            <sz val="9"/>
            <color indexed="81"/>
            <rFont val="Tahoma"/>
            <family val="2"/>
          </rPr>
          <t xml:space="preserve">
CHTR, 10k, Year Ended 2025, pg. 43
"Consolidated Net Income</t>
        </r>
      </text>
    </comment>
    <comment ref="O23" authorId="0" shapeId="0" xr:uid="{C92184CD-D4B8-4113-9CDF-9084DC076FD8}">
      <text>
        <r>
          <rPr>
            <b/>
            <sz val="9"/>
            <color indexed="81"/>
            <rFont val="Tahoma"/>
            <family val="2"/>
          </rPr>
          <t>Jayson Soza:</t>
        </r>
        <r>
          <rPr>
            <sz val="9"/>
            <color indexed="81"/>
            <rFont val="Tahoma"/>
            <family val="2"/>
          </rPr>
          <t xml:space="preserve">
RCI Investor Relations 2025 Q4 Results page 4</t>
        </r>
      </text>
    </comment>
    <comment ref="P23" authorId="0" shapeId="0" xr:uid="{9F42CA0A-4805-4021-AC2F-0B36B3DEC098}">
      <text>
        <r>
          <rPr>
            <b/>
            <sz val="9"/>
            <color indexed="81"/>
            <rFont val="Tahoma"/>
            <family val="2"/>
          </rPr>
          <t>Jayson Soza:</t>
        </r>
        <r>
          <rPr>
            <sz val="9"/>
            <color indexed="81"/>
            <rFont val="Tahoma"/>
            <family val="2"/>
          </rPr>
          <t xml:space="preserve">
RCI Investor Relations 2025 Q4 Results page 4</t>
        </r>
      </text>
    </comment>
    <comment ref="R23" authorId="0" shapeId="0" xr:uid="{137532B0-BF21-45E0-9AAE-DC607535C8F9}">
      <text>
        <r>
          <rPr>
            <b/>
            <sz val="9"/>
            <color indexed="81"/>
            <rFont val="Tahoma"/>
            <family val="2"/>
          </rPr>
          <t>Jayson Soza:</t>
        </r>
        <r>
          <rPr>
            <sz val="9"/>
            <color indexed="81"/>
            <rFont val="Tahoma"/>
            <family val="2"/>
          </rPr>
          <t xml:space="preserve">
RCI Investor Relations 2025 Q4 Results page 5</t>
        </r>
      </text>
    </comment>
    <comment ref="C24" authorId="0" shapeId="0" xr:uid="{000DAF22-ED35-414A-9569-01E6AB5126DA}">
      <text>
        <r>
          <rPr>
            <b/>
            <sz val="9"/>
            <color indexed="81"/>
            <rFont val="Tahoma"/>
            <family val="2"/>
          </rPr>
          <t>Jayson Soza:</t>
        </r>
        <r>
          <rPr>
            <sz val="9"/>
            <color indexed="81"/>
            <rFont val="Tahoma"/>
            <family val="2"/>
          </rPr>
          <t xml:space="preserve">
VZ Cashflow Statement for Fiscal Year 2025</t>
        </r>
      </text>
    </comment>
    <comment ref="G24" authorId="1" shapeId="0" xr:uid="{7AD2D5DE-E2A1-4495-961F-8536B3718209}">
      <text>
        <r>
          <rPr>
            <b/>
            <sz val="9"/>
            <color indexed="81"/>
            <rFont val="Tahoma"/>
            <family val="2"/>
          </rPr>
          <t>Chineme Oriaku:</t>
        </r>
        <r>
          <rPr>
            <sz val="9"/>
            <color indexed="81"/>
            <rFont val="Tahoma"/>
            <family val="2"/>
          </rPr>
          <t xml:space="preserve">
T, 10k, Year Ended 2025, pg. 45</t>
        </r>
      </text>
    </comment>
    <comment ref="K24" authorId="1" shapeId="0" xr:uid="{A6C8324A-B66B-4A07-825F-FD4D2764D70A}">
      <text>
        <r>
          <rPr>
            <b/>
            <sz val="9"/>
            <color indexed="81"/>
            <rFont val="Tahoma"/>
            <family val="2"/>
          </rPr>
          <t>Chineme Oriaku:</t>
        </r>
        <r>
          <rPr>
            <sz val="9"/>
            <color indexed="81"/>
            <rFont val="Tahoma"/>
            <family val="2"/>
          </rPr>
          <t xml:space="preserve">
CHTR, 10k, Year Ended 2025, pg. 50</t>
        </r>
      </text>
    </comment>
    <comment ref="O25" authorId="2" shapeId="0" xr:uid="{C112F463-8631-184B-8BFC-0D3976D8C99D}">
      <text>
        <r>
          <rPr>
            <b/>
            <sz val="10"/>
            <color rgb="FF000000"/>
            <rFont val="Tahoma"/>
            <family val="2"/>
          </rPr>
          <t>Esaa:</t>
        </r>
        <r>
          <rPr>
            <sz val="10"/>
            <color rgb="FF000000"/>
            <rFont val="Tahoma"/>
            <family val="2"/>
          </rPr>
          <t xml:space="preserve">
</t>
        </r>
        <r>
          <rPr>
            <sz val="10"/>
            <color rgb="FF000000"/>
            <rFont val="Calibri"/>
            <family val="2"/>
            <scheme val="minor"/>
          </rPr>
          <t>LUMN, 10k, year ended 2025, Pg. 70</t>
        </r>
        <r>
          <rPr>
            <sz val="10"/>
            <color rgb="FF000000"/>
            <rFont val="Calibri"/>
            <family val="2"/>
            <scheme val="minor"/>
          </rPr>
          <t xml:space="preserve">
</t>
        </r>
      </text>
    </comment>
    <comment ref="P25" authorId="2" shapeId="0" xr:uid="{1F58DD33-F37A-3041-AAFC-A55565EE7DFF}">
      <text>
        <r>
          <rPr>
            <b/>
            <sz val="10"/>
            <color rgb="FF000000"/>
            <rFont val="Tahoma"/>
            <family val="2"/>
          </rPr>
          <t>Esaa:</t>
        </r>
        <r>
          <rPr>
            <sz val="10"/>
            <color rgb="FF000000"/>
            <rFont val="Tahoma"/>
            <family val="2"/>
          </rPr>
          <t xml:space="preserve">
</t>
        </r>
        <r>
          <rPr>
            <sz val="10"/>
            <color rgb="FF000000"/>
            <rFont val="Calibri"/>
            <family val="2"/>
            <scheme val="minor"/>
          </rPr>
          <t>LUMN, 10k, year ended 2025, Pg. 70</t>
        </r>
        <r>
          <rPr>
            <sz val="10"/>
            <color rgb="FF000000"/>
            <rFont val="Calibri"/>
            <family val="2"/>
            <scheme val="minor"/>
          </rPr>
          <t xml:space="preserve">
</t>
        </r>
      </text>
    </comment>
    <comment ref="R25" authorId="2" shapeId="0" xr:uid="{2F58C1B2-AF74-3149-8EAD-EDD5F40CD9C3}">
      <text>
        <r>
          <rPr>
            <b/>
            <sz val="10"/>
            <color rgb="FF000000"/>
            <rFont val="Tahoma"/>
            <family val="2"/>
          </rPr>
          <t>Esaa:</t>
        </r>
        <r>
          <rPr>
            <sz val="10"/>
            <color rgb="FF000000"/>
            <rFont val="Tahoma"/>
            <family val="2"/>
          </rPr>
          <t xml:space="preserve">
</t>
        </r>
        <r>
          <rPr>
            <sz val="10"/>
            <color rgb="FF000000"/>
            <rFont val="Calibri"/>
            <family val="2"/>
            <scheme val="minor"/>
          </rPr>
          <t>LUMN, 10k, year ended 2025, Pg. 70</t>
        </r>
        <r>
          <rPr>
            <sz val="10"/>
            <color rgb="FF000000"/>
            <rFont val="Calibri"/>
            <family val="2"/>
            <scheme val="minor"/>
          </rPr>
          <t xml:space="preserve">
</t>
        </r>
      </text>
    </comment>
    <comment ref="M30" authorId="0" shapeId="0" xr:uid="{A3176E61-6501-4169-9F51-DB8A3E4F3AAD}">
      <text>
        <r>
          <rPr>
            <b/>
            <sz val="9"/>
            <color indexed="81"/>
            <rFont val="Tahoma"/>
            <family val="2"/>
          </rPr>
          <t>Jayson Soza:</t>
        </r>
        <r>
          <rPr>
            <sz val="9"/>
            <color indexed="81"/>
            <rFont val="Tahoma"/>
            <family val="2"/>
          </rPr>
          <t xml:space="preserve">
TMUS Income Statement for 2025 Fiscal Year</t>
        </r>
      </text>
    </comment>
    <comment ref="C31" authorId="0" shapeId="0" xr:uid="{9CC33AA0-FFDD-4F56-8B27-8CB31549DD58}">
      <text>
        <r>
          <rPr>
            <b/>
            <sz val="9"/>
            <color indexed="81"/>
            <rFont val="Tahoma"/>
            <family val="2"/>
          </rPr>
          <t>Jayson Soza:</t>
        </r>
        <r>
          <rPr>
            <sz val="9"/>
            <color indexed="81"/>
            <rFont val="Tahoma"/>
            <family val="2"/>
          </rPr>
          <t xml:space="preserve">
RCI Investor Relations 2025 Q4 Results page1</t>
        </r>
      </text>
    </comment>
    <comment ref="M31" authorId="0" shapeId="0" xr:uid="{185D678C-9A1D-4279-8E55-05F7B1873D1D}">
      <text>
        <r>
          <rPr>
            <b/>
            <sz val="9"/>
            <color indexed="81"/>
            <rFont val="Tahoma"/>
            <family val="2"/>
          </rPr>
          <t>Jayson Soza:</t>
        </r>
        <r>
          <rPr>
            <sz val="9"/>
            <color indexed="81"/>
            <rFont val="Tahoma"/>
            <family val="2"/>
          </rPr>
          <t xml:space="preserve">
VZ 2025 10k pg 52</t>
        </r>
      </text>
    </comment>
    <comment ref="C32" authorId="0" shapeId="0" xr:uid="{EF18A81D-5A27-4630-8305-5FFF8D07BF05}">
      <text>
        <r>
          <rPr>
            <b/>
            <sz val="9"/>
            <color indexed="81"/>
            <rFont val="Tahoma"/>
            <family val="2"/>
          </rPr>
          <t>Jayson Soza:</t>
        </r>
        <r>
          <rPr>
            <sz val="9"/>
            <color indexed="81"/>
            <rFont val="Tahoma"/>
            <family val="2"/>
          </rPr>
          <t xml:space="preserve">
RCI Investor Relations 2025 Q4 Results page1</t>
        </r>
      </text>
    </comment>
    <comment ref="M32" authorId="0" shapeId="0" xr:uid="{95AADB2E-90E2-4631-A20F-8937C3C76B5F}">
      <text>
        <r>
          <rPr>
            <b/>
            <sz val="9"/>
            <color indexed="81"/>
            <rFont val="Tahoma"/>
            <family val="2"/>
          </rPr>
          <t>Jayson Soza:</t>
        </r>
        <r>
          <rPr>
            <sz val="9"/>
            <color indexed="81"/>
            <rFont val="Tahoma"/>
            <family val="2"/>
          </rPr>
          <t xml:space="preserve">
RCI Investor Relations 2025 Q4 Results page1</t>
        </r>
      </text>
    </comment>
    <comment ref="C33" authorId="0" shapeId="0" xr:uid="{E99B683B-5271-44A7-8AAA-B06C0A319FBA}">
      <text>
        <r>
          <rPr>
            <b/>
            <sz val="9"/>
            <color indexed="81"/>
            <rFont val="Tahoma"/>
            <family val="2"/>
          </rPr>
          <t>Jayson Soza:</t>
        </r>
        <r>
          <rPr>
            <sz val="9"/>
            <color indexed="81"/>
            <rFont val="Tahoma"/>
            <family val="2"/>
          </rPr>
          <t xml:space="preserve">
RCI Investor Relations 2025 Q4 Results page1</t>
        </r>
      </text>
    </comment>
    <comment ref="M33" authorId="3" shapeId="0" xr:uid="{3AD4727C-4872-479C-AAAE-DB9BD3E6D314}">
      <text>
        <r>
          <rPr>
            <sz val="11"/>
            <color rgb="FF000000"/>
            <rFont val="Calibri"/>
            <family val="2"/>
          </rPr>
          <t xml:space="preserve">Karishma Shah:
</t>
        </r>
        <r>
          <rPr>
            <sz val="11"/>
            <color rgb="FF000000"/>
            <rFont val="Calibri"/>
            <family val="2"/>
          </rPr>
          <t>GOOGL CONSOLIDATED STATEMENTS OF INCOME for Fiscal Year 2025</t>
        </r>
      </text>
    </comment>
    <comment ref="M34" authorId="2" shapeId="0" xr:uid="{0AA1D61F-CD52-BE40-BEF7-4608BA7DB2B9}">
      <text>
        <r>
          <rPr>
            <b/>
            <sz val="10"/>
            <color rgb="FF000000"/>
            <rFont val="Tahoma"/>
            <family val="2"/>
          </rPr>
          <t>Esaa:</t>
        </r>
        <r>
          <rPr>
            <sz val="10"/>
            <color rgb="FF000000"/>
            <rFont val="Tahoma"/>
            <family val="2"/>
          </rPr>
          <t xml:space="preserve">
</t>
        </r>
        <r>
          <rPr>
            <sz val="10"/>
            <color rgb="FF000000"/>
            <rFont val="Calibri"/>
            <family val="2"/>
            <scheme val="minor"/>
          </rPr>
          <t>CHTR, 10K, Year Ended 2025, Pg. F-5</t>
        </r>
        <r>
          <rPr>
            <sz val="10"/>
            <color rgb="FF000000"/>
            <rFont val="Calibri"/>
            <family val="2"/>
            <scheme val="minor"/>
          </rPr>
          <t xml:space="preserve">
</t>
        </r>
      </text>
    </comment>
    <comment ref="C35" authorId="2" shapeId="0" xr:uid="{073C7CCB-67FD-624A-9F58-D069E5351FFE}">
      <text>
        <r>
          <rPr>
            <b/>
            <sz val="10"/>
            <color rgb="FF000000"/>
            <rFont val="Tahoma"/>
            <family val="2"/>
          </rPr>
          <t>Esaa:</t>
        </r>
        <r>
          <rPr>
            <sz val="10"/>
            <color rgb="FF000000"/>
            <rFont val="Tahoma"/>
            <family val="2"/>
          </rPr>
          <t xml:space="preserve">
</t>
        </r>
        <r>
          <rPr>
            <sz val="10"/>
            <color rgb="FF000000"/>
            <rFont val="Calibri"/>
            <family val="2"/>
            <scheme val="minor"/>
          </rPr>
          <t>CMCSA, 10k, year ended 2025, Pg. 64</t>
        </r>
        <r>
          <rPr>
            <sz val="10"/>
            <color rgb="FF000000"/>
            <rFont val="Calibri"/>
            <family val="2"/>
            <scheme val="minor"/>
          </rPr>
          <t xml:space="preserve">
</t>
        </r>
      </text>
    </comment>
    <comment ref="M35" authorId="2" shapeId="0" xr:uid="{F36DC567-6A18-414B-9A8F-8F5FA1A707FC}">
      <text>
        <r>
          <rPr>
            <b/>
            <sz val="10"/>
            <color rgb="FF000000"/>
            <rFont val="Tahoma"/>
            <family val="2"/>
          </rPr>
          <t>Esaa:</t>
        </r>
        <r>
          <rPr>
            <sz val="10"/>
            <color rgb="FF000000"/>
            <rFont val="Tahoma"/>
            <family val="2"/>
          </rPr>
          <t xml:space="preserve">
</t>
        </r>
        <r>
          <rPr>
            <sz val="10"/>
            <color rgb="FF000000"/>
            <rFont val="Calibri"/>
            <family val="2"/>
            <scheme val="minor"/>
          </rPr>
          <t>T, 10K, Year Ended 2025, Pg. 42</t>
        </r>
        <r>
          <rPr>
            <sz val="10"/>
            <color rgb="FF000000"/>
            <rFont val="Calibri"/>
            <family val="2"/>
            <scheme val="minor"/>
          </rPr>
          <t xml:space="preserve">
</t>
        </r>
      </text>
    </comment>
    <comment ref="C36" authorId="0" shapeId="0" xr:uid="{C281C909-5F25-470F-A52E-377031C16940}">
      <text>
        <r>
          <rPr>
            <b/>
            <sz val="9"/>
            <color indexed="81"/>
            <rFont val="Tahoma"/>
            <family val="2"/>
          </rPr>
          <t>Jayson Soza:</t>
        </r>
        <r>
          <rPr>
            <sz val="9"/>
            <color indexed="81"/>
            <rFont val="Tahoma"/>
            <family val="2"/>
          </rPr>
          <t xml:space="preserve">
RCI Investor Relations 2025 Q4 Results page 2</t>
        </r>
      </text>
    </comment>
    <comment ref="M36" authorId="2" shapeId="0" xr:uid="{7B63B5E7-5E85-5142-B1E1-5CD4D4F2FFD1}">
      <text>
        <r>
          <rPr>
            <b/>
            <sz val="10"/>
            <color rgb="FF000000"/>
            <rFont val="Tahoma"/>
            <family val="2"/>
          </rPr>
          <t>Esaa:</t>
        </r>
        <r>
          <rPr>
            <sz val="10"/>
            <color rgb="FF000000"/>
            <rFont val="Tahoma"/>
            <family val="2"/>
          </rPr>
          <t xml:space="preserve">
</t>
        </r>
        <r>
          <rPr>
            <sz val="10"/>
            <color rgb="FF000000"/>
            <rFont val="Calibri"/>
            <family val="2"/>
            <scheme val="minor"/>
          </rPr>
          <t>LUMN, 10k, year ended 2025, Pg. 68</t>
        </r>
        <r>
          <rPr>
            <sz val="10"/>
            <color rgb="FF000000"/>
            <rFont val="Calibri"/>
            <family val="2"/>
            <scheme val="minor"/>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Jayson Soza</author>
    <author>Esaa</author>
    <author>Chineme Oriaku</author>
  </authors>
  <commentList>
    <comment ref="C5" authorId="0" shapeId="0" xr:uid="{A6BB3A92-07FF-444D-B65B-94E0F6F4F41B}">
      <text>
        <r>
          <rPr>
            <b/>
            <sz val="9"/>
            <color indexed="81"/>
            <rFont val="Tahoma"/>
            <family val="2"/>
          </rPr>
          <t>Jayson Soza:</t>
        </r>
        <r>
          <rPr>
            <sz val="9"/>
            <color indexed="81"/>
            <rFont val="Tahoma"/>
            <family val="2"/>
          </rPr>
          <t xml:space="preserve">
As of 02/23 at 2:48 PM. yahoofinance</t>
        </r>
      </text>
    </comment>
    <comment ref="F5" authorId="0" shapeId="0" xr:uid="{2DBFF6B9-D17B-43B4-85FC-35649F7E0F64}">
      <text>
        <r>
          <rPr>
            <b/>
            <sz val="9"/>
            <color indexed="81"/>
            <rFont val="Tahoma"/>
            <family val="2"/>
          </rPr>
          <t>Jayson Soza:</t>
        </r>
        <r>
          <rPr>
            <sz val="9"/>
            <color indexed="81"/>
            <rFont val="Tahoma"/>
            <family val="2"/>
          </rPr>
          <t xml:space="preserve">
As of 2/23 at 2:52 PM according to yahoo Finance</t>
        </r>
      </text>
    </comment>
    <comment ref="I5" authorId="1" shapeId="0" xr:uid="{68A42B37-EDA9-2B4E-BD7E-539C1DE4A814}">
      <text>
        <r>
          <rPr>
            <b/>
            <sz val="10"/>
            <color rgb="FF000000"/>
            <rFont val="Tahoma"/>
            <family val="2"/>
          </rPr>
          <t>Esaa:</t>
        </r>
        <r>
          <rPr>
            <sz val="10"/>
            <color rgb="FF000000"/>
            <rFont val="Tahoma"/>
            <family val="2"/>
          </rPr>
          <t xml:space="preserve">
</t>
        </r>
        <r>
          <rPr>
            <sz val="10"/>
            <color rgb="FF000000"/>
            <rFont val="Calibri"/>
            <family val="2"/>
            <scheme val="minor"/>
          </rPr>
          <t>Share price, Yahoo Finance, 02/23/26 9:17 PM</t>
        </r>
        <r>
          <rPr>
            <sz val="10"/>
            <color rgb="FF000000"/>
            <rFont val="Calibri"/>
            <family val="2"/>
            <scheme val="minor"/>
          </rPr>
          <t xml:space="preserve">
</t>
        </r>
      </text>
    </comment>
    <comment ref="L5" authorId="1" shapeId="0" xr:uid="{46A3F418-050B-D548-AA82-FDFADDA42C06}">
      <text>
        <r>
          <rPr>
            <b/>
            <sz val="10"/>
            <color rgb="FF000000"/>
            <rFont val="Tahoma"/>
            <family val="2"/>
          </rPr>
          <t>Esaa:</t>
        </r>
        <r>
          <rPr>
            <sz val="10"/>
            <color rgb="FF000000"/>
            <rFont val="Tahoma"/>
            <family val="2"/>
          </rPr>
          <t xml:space="preserve">
</t>
        </r>
        <r>
          <rPr>
            <sz val="10"/>
            <color rgb="FF000000"/>
            <rFont val="Tahoma"/>
            <family val="2"/>
          </rPr>
          <t>Share price, Yahoo Finance, 02/23/26 9:17 PM</t>
        </r>
      </text>
    </comment>
    <comment ref="O5" authorId="2" shapeId="0" xr:uid="{DDEE0EFD-E91A-4B98-A428-A074159E3296}">
      <text>
        <r>
          <rPr>
            <b/>
            <sz val="9"/>
            <color indexed="81"/>
            <rFont val="Tahoma"/>
            <family val="2"/>
          </rPr>
          <t>Chineme Oriaku:</t>
        </r>
        <r>
          <rPr>
            <sz val="9"/>
            <color indexed="81"/>
            <rFont val="Tahoma"/>
            <family val="2"/>
          </rPr>
          <t xml:space="preserve">
2/27</t>
        </r>
      </text>
    </comment>
    <comment ref="R5" authorId="2" shapeId="0" xr:uid="{11027F67-9373-4ECB-8BB9-6BF3DBEEC7FF}">
      <text>
        <r>
          <rPr>
            <b/>
            <sz val="9"/>
            <color indexed="81"/>
            <rFont val="Tahoma"/>
            <family val="2"/>
          </rPr>
          <t>Chineme Oriaku:</t>
        </r>
        <r>
          <rPr>
            <sz val="9"/>
            <color indexed="81"/>
            <rFont val="Tahoma"/>
            <family val="2"/>
          </rPr>
          <t xml:space="preserve">
2/27</t>
        </r>
      </text>
    </comment>
    <comment ref="C7" authorId="0" shapeId="0" xr:uid="{C016A83A-9213-4480-8D00-AAFA7F716A33}">
      <text>
        <r>
          <rPr>
            <b/>
            <sz val="9"/>
            <color rgb="FF000000"/>
            <rFont val="Tahoma"/>
            <family val="2"/>
          </rPr>
          <t xml:space="preserve">Jayson Soza:
</t>
        </r>
        <r>
          <rPr>
            <sz val="9"/>
            <color rgb="FF000000"/>
            <rFont val="Tahoma"/>
            <family val="2"/>
          </rPr>
          <t>10K for fiscal year ending December 31 2025</t>
        </r>
      </text>
    </comment>
    <comment ref="F7" authorId="0" shapeId="0" xr:uid="{0312C34D-1BE5-4E13-92F4-057BCECE350B}">
      <text>
        <r>
          <rPr>
            <b/>
            <sz val="9"/>
            <color rgb="FF000000"/>
            <rFont val="Tahoma"/>
            <family val="2"/>
          </rPr>
          <t>Jayson Soza:</t>
        </r>
        <r>
          <rPr>
            <sz val="9"/>
            <color rgb="FF000000"/>
            <rFont val="Tahoma"/>
            <family val="2"/>
          </rPr>
          <t xml:space="preserve">
</t>
        </r>
        <r>
          <rPr>
            <sz val="9"/>
            <color rgb="FF000000"/>
            <rFont val="Tahoma"/>
            <family val="2"/>
          </rPr>
          <t>VZ 10K for Fiscal Year ending December 31 2025</t>
        </r>
      </text>
    </comment>
    <comment ref="I7" authorId="1" shapeId="0" xr:uid="{4497471C-3516-F142-BF2D-6C0119F1081D}">
      <text>
        <r>
          <rPr>
            <b/>
            <sz val="10"/>
            <color rgb="FF000000"/>
            <rFont val="Tahoma"/>
            <family val="2"/>
          </rPr>
          <t>Esaa:</t>
        </r>
        <r>
          <rPr>
            <sz val="10"/>
            <color rgb="FF000000"/>
            <rFont val="Tahoma"/>
            <family val="2"/>
          </rPr>
          <t xml:space="preserve">
</t>
        </r>
        <r>
          <rPr>
            <sz val="10"/>
            <color rgb="FF000000"/>
            <rFont val="Tahoma"/>
            <family val="2"/>
          </rPr>
          <t>AT&amp;T, 10k, Year ended 2025</t>
        </r>
      </text>
    </comment>
    <comment ref="L7" authorId="1" shapeId="0" xr:uid="{12D1A451-8C77-ED4F-AFD3-E5C0F2E4DAB2}">
      <text>
        <r>
          <rPr>
            <b/>
            <sz val="10"/>
            <color rgb="FF000000"/>
            <rFont val="Tahoma"/>
            <family val="2"/>
          </rPr>
          <t>Esaa:</t>
        </r>
        <r>
          <rPr>
            <sz val="10"/>
            <color rgb="FF000000"/>
            <rFont val="Tahoma"/>
            <family val="2"/>
          </rPr>
          <t xml:space="preserve">
</t>
        </r>
        <r>
          <rPr>
            <sz val="10"/>
            <color rgb="FF000000"/>
            <rFont val="Tahoma"/>
            <family val="2"/>
          </rPr>
          <t>CHTR, 10k, Year ended 2025</t>
        </r>
      </text>
    </comment>
    <comment ref="O7" authorId="2" shapeId="0" xr:uid="{A417AC42-9DE3-4141-9FB9-FB162E946724}">
      <text>
        <r>
          <rPr>
            <b/>
            <sz val="9"/>
            <color indexed="81"/>
            <rFont val="Tahoma"/>
            <family val="2"/>
          </rPr>
          <t>Chineme Oriaku:</t>
        </r>
        <r>
          <rPr>
            <sz val="9"/>
            <color indexed="81"/>
            <rFont val="Tahoma"/>
            <family val="2"/>
          </rPr>
          <t xml:space="preserve">
RCI, 40F, 2025 Q4, pg2</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Jayson Soza</author>
  </authors>
  <commentList>
    <comment ref="N3" authorId="0" shapeId="0" xr:uid="{4FE3983C-A31C-4A2D-A673-DFF38600D51C}">
      <text>
        <r>
          <rPr>
            <b/>
            <sz val="9"/>
            <color indexed="81"/>
            <rFont val="Tahoma"/>
            <family val="2"/>
          </rPr>
          <t>Jayson Soza:</t>
        </r>
        <r>
          <rPr>
            <sz val="9"/>
            <color indexed="81"/>
            <rFont val="Tahoma"/>
            <family val="2"/>
          </rPr>
          <t xml:space="preserve">
Yahoo Finance</t>
        </r>
      </text>
    </comment>
    <comment ref="N4" authorId="0" shapeId="0" xr:uid="{B75F6832-AC4B-4C7C-8B70-32799DC61AEC}">
      <text>
        <r>
          <rPr>
            <b/>
            <sz val="9"/>
            <color indexed="81"/>
            <rFont val="Tahoma"/>
            <family val="2"/>
          </rPr>
          <t>Jayson Soza:</t>
        </r>
        <r>
          <rPr>
            <sz val="9"/>
            <color indexed="81"/>
            <rFont val="Tahoma"/>
            <family val="2"/>
          </rPr>
          <t xml:space="preserve">
U.S 10 Year Treausry according to CNBC  10:42 PM 2/25</t>
        </r>
      </text>
    </comment>
    <comment ref="N5" authorId="0" shapeId="0" xr:uid="{8CE4BEB1-0179-4EAE-B5F4-A300B48B37B5}">
      <text>
        <r>
          <rPr>
            <b/>
            <sz val="9"/>
            <color indexed="81"/>
            <rFont val="Tahoma"/>
            <family val="2"/>
          </rPr>
          <t>Jayson Soza:</t>
        </r>
        <r>
          <rPr>
            <sz val="9"/>
            <color indexed="81"/>
            <rFont val="Tahoma"/>
            <family val="2"/>
          </rPr>
          <t xml:space="preserve">
aswath damodaran equity risk premium</t>
        </r>
      </text>
    </comment>
    <comment ref="N7" authorId="0" shapeId="0" xr:uid="{E52E5838-B7F9-48D2-8B37-09EE788FE295}">
      <text>
        <r>
          <rPr>
            <b/>
            <sz val="9"/>
            <color indexed="81"/>
            <rFont val="Tahoma"/>
            <family val="2"/>
          </rPr>
          <t>Jayson Soza:</t>
        </r>
        <r>
          <rPr>
            <sz val="9"/>
            <color indexed="81"/>
            <rFont val="Tahoma"/>
            <family val="2"/>
          </rPr>
          <t xml:space="preserve">
TMUS 2025 10K Page 38</t>
        </r>
      </text>
    </comment>
    <comment ref="K9" authorId="0" shapeId="0" xr:uid="{84E039A0-A030-4F44-9A9D-ACB8EAE4E154}">
      <text>
        <r>
          <rPr>
            <b/>
            <sz val="9"/>
            <color rgb="FF000000"/>
            <rFont val="Tahoma"/>
            <family val="2"/>
          </rPr>
          <t>Jayson Soza:</t>
        </r>
        <r>
          <rPr>
            <sz val="9"/>
            <color rgb="FF000000"/>
            <rFont val="Tahoma"/>
            <family val="2"/>
          </rPr>
          <t xml:space="preserve">
</t>
        </r>
        <r>
          <rPr>
            <sz val="9"/>
            <color rgb="FF000000"/>
            <rFont val="Tahoma"/>
            <family val="2"/>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<sst xmlns="http://schemas.openxmlformats.org/spreadsheetml/2006/main" count="1073" uniqueCount="382">
  <si>
    <t>By: Chineme Oriaku, Eneias Olensky, Esaa Sheikh, Jayson Soza, Karishma Shah</t>
  </si>
  <si>
    <t>Income Statement</t>
  </si>
  <si>
    <t>Debt Schedule</t>
  </si>
  <si>
    <t>Balance Sheet</t>
  </si>
  <si>
    <t>Cashflow Statement</t>
  </si>
  <si>
    <t>Calcs</t>
  </si>
  <si>
    <t>Assumptions</t>
  </si>
  <si>
    <t>LTM</t>
  </si>
  <si>
    <t>Comps</t>
  </si>
  <si>
    <t>T-Mobile US (TMUS)</t>
  </si>
  <si>
    <t>Historicals</t>
  </si>
  <si>
    <t>Projected</t>
  </si>
  <si>
    <t>$ in Millions</t>
  </si>
  <si>
    <t>2021A</t>
  </si>
  <si>
    <t>2022A</t>
  </si>
  <si>
    <t>2023A</t>
  </si>
  <si>
    <t>2024A</t>
  </si>
  <si>
    <t>2025A</t>
  </si>
  <si>
    <t>2026E</t>
  </si>
  <si>
    <t>2027E</t>
  </si>
  <si>
    <t>2028E</t>
  </si>
  <si>
    <t>2029E</t>
  </si>
  <si>
    <t>2030E</t>
  </si>
  <si>
    <t>Revenues</t>
  </si>
  <si>
    <t>Postpaid Revenue</t>
  </si>
  <si>
    <t>Prepaid Revenue</t>
  </si>
  <si>
    <t>Wholesale other service Revenues</t>
  </si>
  <si>
    <t>Total Service Revenues</t>
  </si>
  <si>
    <t>Equipment Revenues</t>
  </si>
  <si>
    <t>Other Revenues</t>
  </si>
  <si>
    <t>Total revenues</t>
  </si>
  <si>
    <t>Operating expenses</t>
  </si>
  <si>
    <t>Cost of services, excluding depreciation and amortization</t>
  </si>
  <si>
    <t>Cost of equipment sales</t>
  </si>
  <si>
    <t>Selling, general and administrative</t>
  </si>
  <si>
    <t>Expected</t>
  </si>
  <si>
    <t>Gain on disposal group held for sale</t>
  </si>
  <si>
    <t>Drivers</t>
  </si>
  <si>
    <t>Impairment expense</t>
  </si>
  <si>
    <t xml:space="preserve">Total Service Revenue </t>
  </si>
  <si>
    <t>Depreciation and amortization</t>
  </si>
  <si>
    <t>Total Revenues</t>
  </si>
  <si>
    <t>Total operating expenses</t>
  </si>
  <si>
    <t>Cost of Services, excluding Depreciation and Amortization</t>
  </si>
  <si>
    <t>Operating income</t>
  </si>
  <si>
    <t>Cost of Equipment Sales</t>
  </si>
  <si>
    <t>Interest expense, net</t>
  </si>
  <si>
    <t>Selling, General and Administrative</t>
  </si>
  <si>
    <t>Other (expense) income, net</t>
  </si>
  <si>
    <t>Depreciation and Amortization</t>
  </si>
  <si>
    <t>Income before income taxes</t>
  </si>
  <si>
    <t>Income tax expense</t>
  </si>
  <si>
    <t>Income Tax Expense</t>
  </si>
  <si>
    <t>Net income</t>
  </si>
  <si>
    <t>Segmented Revenue</t>
  </si>
  <si>
    <t>Wholesale other Revenues</t>
  </si>
  <si>
    <t>Total Service Revenue</t>
  </si>
  <si>
    <t>Equipment Revenue</t>
  </si>
  <si>
    <t>Total Revenue</t>
  </si>
  <si>
    <t>Segmented Revenue Cases:</t>
  </si>
  <si>
    <t>Bear</t>
  </si>
  <si>
    <t>Base</t>
  </si>
  <si>
    <t>Bull</t>
  </si>
  <si>
    <t>Chosen Case:</t>
  </si>
  <si>
    <t>Segmented Revenue YOY Growth (%)</t>
  </si>
  <si>
    <t>TMUS</t>
  </si>
  <si>
    <t>Short Term Debt:</t>
  </si>
  <si>
    <t>Revolver</t>
  </si>
  <si>
    <t>1.500% Senior Notes due 2026</t>
  </si>
  <si>
    <t>Interest Rate</t>
  </si>
  <si>
    <t xml:space="preserve">Ending Balance </t>
  </si>
  <si>
    <t xml:space="preserve">Average Balance </t>
  </si>
  <si>
    <t>Interest Expense</t>
  </si>
  <si>
    <t xml:space="preserve">	</t>
  </si>
  <si>
    <t>2.250% Senior Notes due 2026</t>
  </si>
  <si>
    <t>2.625% Senior Notes due 2026</t>
  </si>
  <si>
    <t>Long Term Debt:</t>
  </si>
  <si>
    <t>3.750% Senior Notes due 2027</t>
  </si>
  <si>
    <t>Paydown</t>
  </si>
  <si>
    <t>Average Balance</t>
  </si>
  <si>
    <t>Effective Interest Expense</t>
  </si>
  <si>
    <t>2.050% Senior Notes due 2028</t>
  </si>
  <si>
    <t>4.750% Senior Notes due 2028</t>
  </si>
  <si>
    <t>4.750% Senior Notes to affiliates due 2028</t>
  </si>
  <si>
    <t>4.800% Senior Notes due 2028</t>
  </si>
  <si>
    <t>4.950% Senior Notes due 2028</t>
  </si>
  <si>
    <t>5.152% Series 2018-1 A-2 Notes due 2028</t>
  </si>
  <si>
    <t>6.875% Senior Notes due 2028</t>
  </si>
  <si>
    <t>2.400% Senior Notes due 2029</t>
  </si>
  <si>
    <t>2.625% Senior Notes due 2029</t>
  </si>
  <si>
    <t>3.375% Senior Notes due 2029</t>
  </si>
  <si>
    <t>3.550% Senior Notes due 2029 (EUR-denominated)</t>
  </si>
  <si>
    <t>4.200% Senior Notes due 2029</t>
  </si>
  <si>
    <t>4.250% Class A Senior ABS Notes due 2029</t>
  </si>
  <si>
    <t>4.740% Class A Senior ABS Notes due 2029</t>
  </si>
  <si>
    <t>4.850% Senior Notes due 2029</t>
  </si>
  <si>
    <t>5.050% Class A Senior ABS Notes due 2029</t>
  </si>
  <si>
    <t>3.875% Senior Notes due 2030</t>
  </si>
  <si>
    <t>4.340% Class A Senior ABS Notes due 2030</t>
  </si>
  <si>
    <t>2.250% Senior Notes due 2031</t>
  </si>
  <si>
    <t>2.550% Senior Notes due 2031</t>
  </si>
  <si>
    <t>2.875% Senior Notes due 2031</t>
  </si>
  <si>
    <t>3.500% Senior Notes due 2031</t>
  </si>
  <si>
    <t>2.700% Senior Notes due 2032</t>
  </si>
  <si>
    <t>3.150% Senior Notes due 2032 (EUR-denominated)</t>
  </si>
  <si>
    <t>3.700% Senior Notes due 2032 (EUR-denominated)</t>
  </si>
  <si>
    <t>5.125% Senior Notes due 2032</t>
  </si>
  <si>
    <t>8.750% Senior Notes due 2032</t>
  </si>
  <si>
    <t>4.625% Senior Notes due 2033</t>
  </si>
  <si>
    <t>5.050% Senior Notes due 2033</t>
  </si>
  <si>
    <t>5.200% Senior Notes due 2033</t>
  </si>
  <si>
    <t>6.700% Senior Notes due 2033</t>
  </si>
  <si>
    <t>5.150% Senior Notes due 2034</t>
  </si>
  <si>
    <t>5.750% Senior Notes due 2034</t>
  </si>
  <si>
    <t>4.700% Senior Notes due 2035</t>
  </si>
  <si>
    <t>4.950% Senior Notes due 2035</t>
  </si>
  <si>
    <t>5.300% Senior Notes due 2035</t>
  </si>
  <si>
    <t>ECA Facility due March 2036</t>
  </si>
  <si>
    <t>ECA Facility due November 2036</t>
  </si>
  <si>
    <t>3.850% Senior Notes due 2036 (EUR-denominated)</t>
  </si>
  <si>
    <t>3.500% Senior Notes due 2037 (EUR-denominated)</t>
  </si>
  <si>
    <t>4.375% Senior Notes due 2040</t>
  </si>
  <si>
    <t>3.000% Senior Notes due 2041</t>
  </si>
  <si>
    <t>3.800% Senior Notes due 2045 (EUR-denominated)</t>
  </si>
  <si>
    <t>4.500% Senior Notes due 2050</t>
  </si>
  <si>
    <t>3.300% Senior Notes due 2051</t>
  </si>
  <si>
    <t>3.400% Senior Notes due 2052</t>
  </si>
  <si>
    <t>5.650% Senior Notes due 2053</t>
  </si>
  <si>
    <t>5.750% Senior Notes due 2054</t>
  </si>
  <si>
    <t>6.000% Senior Notes due 2054</t>
  </si>
  <si>
    <t>5.250% Senior Notes due 2055</t>
  </si>
  <si>
    <t>5.500% Senior Notes due 2055</t>
  </si>
  <si>
    <t>5.875% Senior Notes due 2055</t>
  </si>
  <si>
    <t>5.700% Senior Notes due 2056</t>
  </si>
  <si>
    <t>3.600% Senior Notes due 2060</t>
  </si>
  <si>
    <t>5.800% Senior Notes due 2062</t>
  </si>
  <si>
    <t>6.250% Senior Notes due 2069</t>
  </si>
  <si>
    <t>5.500% Senior Notes due March 2070</t>
  </si>
  <si>
    <t>5.500% Senior Notes due June 2070</t>
  </si>
  <si>
    <t>Summary</t>
  </si>
  <si>
    <t xml:space="preserve">Short term debt </t>
  </si>
  <si>
    <t xml:space="preserve">Long term debt   </t>
  </si>
  <si>
    <t>TOTAL DEBT</t>
  </si>
  <si>
    <t>Interest Expense:</t>
  </si>
  <si>
    <t xml:space="preserve">Long Term </t>
  </si>
  <si>
    <t>Short Term</t>
  </si>
  <si>
    <t>TOTAL INTEREST EXPENSE</t>
  </si>
  <si>
    <t>Cash</t>
  </si>
  <si>
    <t>x</t>
  </si>
  <si>
    <t>Required Cash</t>
  </si>
  <si>
    <t>Excess Cash Revolver</t>
  </si>
  <si>
    <t>Total Cash</t>
  </si>
  <si>
    <t>Interest Rate:</t>
  </si>
  <si>
    <t>Interest Income</t>
  </si>
  <si>
    <t>Current assets</t>
  </si>
  <si>
    <t>Cash and cash equivalents</t>
  </si>
  <si>
    <t>Excess Cash /Revolver</t>
  </si>
  <si>
    <t>Accounts receivable</t>
  </si>
  <si>
    <t xml:space="preserve">Equipment installment plan receivables, </t>
  </si>
  <si>
    <t>Inventory</t>
  </si>
  <si>
    <t>Prepaid expenses</t>
  </si>
  <si>
    <t>Other current assets</t>
  </si>
  <si>
    <t>Total current assets</t>
  </si>
  <si>
    <t>Property and equipment, net</t>
  </si>
  <si>
    <t>Operating lease right-of-use assets</t>
  </si>
  <si>
    <t>Financing lease right-of-use assets</t>
  </si>
  <si>
    <t>Goodwill</t>
  </si>
  <si>
    <t>Spectrum licenses</t>
  </si>
  <si>
    <t>Other intangible assets, net</t>
  </si>
  <si>
    <t xml:space="preserve">Equipment installment plan receivables </t>
  </si>
  <si>
    <t>Other assets</t>
  </si>
  <si>
    <t>Total assets</t>
  </si>
  <si>
    <t>Current liabilities</t>
  </si>
  <si>
    <t xml:space="preserve">New Revolver </t>
  </si>
  <si>
    <t>Accounts payable and accrued liabilities</t>
  </si>
  <si>
    <t>Short-term debt</t>
  </si>
  <si>
    <t>Short Term debt to affiliates</t>
  </si>
  <si>
    <t>Deferred revenue</t>
  </si>
  <si>
    <t>Short-term operating lease liabilities</t>
  </si>
  <si>
    <t>Short-term financing lease liabilities</t>
  </si>
  <si>
    <t>Other current liabilities</t>
  </si>
  <si>
    <t>Total current liabilities</t>
  </si>
  <si>
    <t>Long-term debt</t>
  </si>
  <si>
    <t>Senior Notes due 2026</t>
  </si>
  <si>
    <t>Senior Notes Due 2026</t>
  </si>
  <si>
    <t>Senior Notes Due 2027</t>
  </si>
  <si>
    <t>Senior Notes Due 2028</t>
  </si>
  <si>
    <t>Senior Notes due 2028</t>
  </si>
  <si>
    <t>Senior Notes to Affiliates due 2028</t>
  </si>
  <si>
    <t>Series 2018-1-A-2 Notes due 2028</t>
  </si>
  <si>
    <t>Senior Notes Due 2029</t>
  </si>
  <si>
    <t>Senior Notes Due 2029 (EUR-denominated)</t>
  </si>
  <si>
    <t>Senior Notes due 2029</t>
  </si>
  <si>
    <t>Class A senior ABS notes due 2029</t>
  </si>
  <si>
    <t>Senior notes due 2029</t>
  </si>
  <si>
    <t>Senior Notes due 2030</t>
  </si>
  <si>
    <t>Class A Senior ABS notes due 2030</t>
  </si>
  <si>
    <t>Senior Notes due 2031</t>
  </si>
  <si>
    <t>Senior notes due 2032</t>
  </si>
  <si>
    <t>Senior notes due 2032 (Eur-dominated)</t>
  </si>
  <si>
    <t>Senior Notes due 2032</t>
  </si>
  <si>
    <t>senior notes  due 2032</t>
  </si>
  <si>
    <t>Senior notes due 2033</t>
  </si>
  <si>
    <t>Senior notes due 2034</t>
  </si>
  <si>
    <t>senior notes due 2035</t>
  </si>
  <si>
    <t>Senior notes 2036(EUR denominated)</t>
  </si>
  <si>
    <t>Senior notes due 2037 (EUR denominated)</t>
  </si>
  <si>
    <t>Senior notes 2040</t>
  </si>
  <si>
    <t>Senior notes due 2041</t>
  </si>
  <si>
    <t>Senior notes 2045 (EUR denominated</t>
  </si>
  <si>
    <t>Senior notes due 2050</t>
  </si>
  <si>
    <t>senior notes due 2051</t>
  </si>
  <si>
    <t>Senior notes due 2052</t>
  </si>
  <si>
    <t>Senior notes due 2053</t>
  </si>
  <si>
    <t>senior notes due 2054</t>
  </si>
  <si>
    <t>senior notes due 2055</t>
  </si>
  <si>
    <t>Senior notes due 2056</t>
  </si>
  <si>
    <t>senior notes due 2060</t>
  </si>
  <si>
    <t>senior notes due 2062</t>
  </si>
  <si>
    <t>senior notes due 2069</t>
  </si>
  <si>
    <t>senior notes due march 2070</t>
  </si>
  <si>
    <t>senior notes due june 2070</t>
  </si>
  <si>
    <t>unamortized Premium on debt to third parties</t>
  </si>
  <si>
    <t>unamortized discount on debt to third parties</t>
  </si>
  <si>
    <t>Debt issuance costs and consent fees</t>
  </si>
  <si>
    <t>Long Term-debt to Affiliates</t>
  </si>
  <si>
    <t>Tower obligations</t>
  </si>
  <si>
    <t>Deferred tax liabilities</t>
  </si>
  <si>
    <t>Operating lease liabilities</t>
  </si>
  <si>
    <t>Financing lease liabilities</t>
  </si>
  <si>
    <t>Other long-term liabilities</t>
  </si>
  <si>
    <t>Less:Current portion of senior notes</t>
  </si>
  <si>
    <t>Total long-term liabilities</t>
  </si>
  <si>
    <t>Stockholders' equity</t>
  </si>
  <si>
    <t>Common stock,</t>
  </si>
  <si>
    <t>Additional paid-in capital</t>
  </si>
  <si>
    <t>Treasury stock, at cost, 168,843,574 and 126,494,683 shares</t>
  </si>
  <si>
    <t>Accumulated other comprehensive loss</t>
  </si>
  <si>
    <t>Retained earnings</t>
  </si>
  <si>
    <t>Total stockholders' equity</t>
  </si>
  <si>
    <t>Total liabilities and stockholders' equity</t>
  </si>
  <si>
    <t>balance check</t>
  </si>
  <si>
    <t>Consolidated Statements of Cash Flows - USD ($)</t>
  </si>
  <si>
    <t xml:space="preserve">Historical </t>
  </si>
  <si>
    <t>In Millions</t>
  </si>
  <si>
    <t>Operating activities</t>
  </si>
  <si>
    <t> </t>
  </si>
  <si>
    <t>Changes in Working Capital</t>
  </si>
  <si>
    <t>Cash Flow from Operations</t>
  </si>
  <si>
    <t>Investing Activities</t>
  </si>
  <si>
    <t>Capital Expenditures</t>
  </si>
  <si>
    <t>Changes in Non-Working Capital</t>
  </si>
  <si>
    <t>Cash Flow from Investing</t>
  </si>
  <si>
    <t>Financing activities</t>
  </si>
  <si>
    <t>Affiliated Debt</t>
  </si>
  <si>
    <t>Dividends</t>
  </si>
  <si>
    <t>Total Cash from Financing</t>
  </si>
  <si>
    <t>Net Change In Cash</t>
  </si>
  <si>
    <t>Cash Analysis</t>
  </si>
  <si>
    <t>Beginning Cash</t>
  </si>
  <si>
    <t>Change in Cash from Cashflow Statement</t>
  </si>
  <si>
    <t>Net Cash Available at the End of the Year</t>
  </si>
  <si>
    <t>Excess Cash/ Revolver</t>
  </si>
  <si>
    <t>T-Mobile US INC. (TMUS)</t>
  </si>
  <si>
    <t>2026A</t>
  </si>
  <si>
    <t>Retained Earnings</t>
  </si>
  <si>
    <t>Net Income</t>
  </si>
  <si>
    <t>Other Net</t>
  </si>
  <si>
    <t>Ending Balance</t>
  </si>
  <si>
    <t>check</t>
  </si>
  <si>
    <t>PP&amp;E (Property, Plant, and Equipment)</t>
  </si>
  <si>
    <t>Beginning Balance (Previous Ending)</t>
  </si>
  <si>
    <t>Capital Expenditures (from CFS)</t>
  </si>
  <si>
    <t>Ending Balance (from B/S)</t>
  </si>
  <si>
    <t>Current Assets:</t>
  </si>
  <si>
    <t>Total Current Assets</t>
  </si>
  <si>
    <t>Current Liabilities:</t>
  </si>
  <si>
    <t>Total Operating Liabilities</t>
  </si>
  <si>
    <t>Changes in Operating Assets (Cash Flow)</t>
  </si>
  <si>
    <t>Changes in Operating Liabilties (Cash Flow)</t>
  </si>
  <si>
    <t>Changes in Operating Working Capital</t>
  </si>
  <si>
    <t>Changes in Non-Working Capital:</t>
  </si>
  <si>
    <t>Total Non-Working Assets</t>
  </si>
  <si>
    <t>Total Non-Working Liabilities</t>
  </si>
  <si>
    <t>Changes in Non-Operating Assets (Cash Flow)</t>
  </si>
  <si>
    <t>Changes in Non-Operating Liabilties (Cash Flow)</t>
  </si>
  <si>
    <t>Changes in Non-Operating Working Capital</t>
  </si>
  <si>
    <t xml:space="preserve">TMUS  Assumptions </t>
  </si>
  <si>
    <t>Average</t>
  </si>
  <si>
    <t>5 YR AVG</t>
  </si>
  <si>
    <t>3 YR AVG</t>
  </si>
  <si>
    <t>Income Statement:</t>
  </si>
  <si>
    <t>Balance Sheet:</t>
  </si>
  <si>
    <t>Cap Ex</t>
  </si>
  <si>
    <t xml:space="preserve"> TMUS LTM Calcs</t>
  </si>
  <si>
    <t xml:space="preserve">($ in millions) </t>
  </si>
  <si>
    <t>FY 2025</t>
  </si>
  <si>
    <t>Sales</t>
  </si>
  <si>
    <t>Op.Income</t>
  </si>
  <si>
    <t>D&amp;A</t>
  </si>
  <si>
    <t>EBITDA</t>
  </si>
  <si>
    <t>FCF</t>
  </si>
  <si>
    <t>VZ LTM Calcs</t>
  </si>
  <si>
    <t>T LTM Calcs</t>
  </si>
  <si>
    <t>CHTR LTM Calcs</t>
  </si>
  <si>
    <t>Total Debt and Cash</t>
  </si>
  <si>
    <t>Long Term</t>
  </si>
  <si>
    <t>Total Debt</t>
  </si>
  <si>
    <t>VZ</t>
  </si>
  <si>
    <t>T</t>
  </si>
  <si>
    <t>CHTR</t>
  </si>
  <si>
    <t>RCI</t>
  </si>
  <si>
    <t>SATS</t>
  </si>
  <si>
    <t>LUMN</t>
  </si>
  <si>
    <t>RCI LTM Calcs</t>
  </si>
  <si>
    <t>SATS LTM Calcs</t>
  </si>
  <si>
    <t>EPS Calcs</t>
  </si>
  <si>
    <t>3Q24</t>
  </si>
  <si>
    <t>FY 2024</t>
  </si>
  <si>
    <t>3Q2025</t>
  </si>
  <si>
    <t>Ticker</t>
  </si>
  <si>
    <t xml:space="preserve">Company </t>
  </si>
  <si>
    <t>T-Mobile USA</t>
  </si>
  <si>
    <t>Verizon</t>
  </si>
  <si>
    <t>AT&amp;T</t>
  </si>
  <si>
    <t xml:space="preserve">Charter Comm. </t>
  </si>
  <si>
    <t>Rogers Communications Inc</t>
  </si>
  <si>
    <t>EchoStar Corp</t>
  </si>
  <si>
    <t>Share Price</t>
  </si>
  <si>
    <t>Shares Out</t>
  </si>
  <si>
    <t>FD Equity Value</t>
  </si>
  <si>
    <t xml:space="preserve">Total Debt </t>
  </si>
  <si>
    <t>Net Debt</t>
  </si>
  <si>
    <t>TEV</t>
  </si>
  <si>
    <t>EV/Sales</t>
  </si>
  <si>
    <t>Metric</t>
  </si>
  <si>
    <t>Multiple</t>
  </si>
  <si>
    <t>Mean</t>
  </si>
  <si>
    <t xml:space="preserve">Median </t>
  </si>
  <si>
    <t>EV/EBITDA</t>
  </si>
  <si>
    <t>EV/EBIT</t>
  </si>
  <si>
    <t>P/E</t>
  </si>
  <si>
    <t>EV/FCF</t>
  </si>
  <si>
    <t>Discounted Cash Flow Analysis</t>
  </si>
  <si>
    <t>WACC Calculations</t>
  </si>
  <si>
    <t>Inputs</t>
  </si>
  <si>
    <t>Debt</t>
  </si>
  <si>
    <t>Beta</t>
  </si>
  <si>
    <t>DCF Valuation:</t>
  </si>
  <si>
    <t>Equity</t>
  </si>
  <si>
    <t>Risk-Free Rate</t>
  </si>
  <si>
    <t>EBIT</t>
  </si>
  <si>
    <t>Total</t>
  </si>
  <si>
    <t>Equity Risk Premium</t>
  </si>
  <si>
    <t>1-Tax Rate</t>
  </si>
  <si>
    <t>Cost of Debt</t>
  </si>
  <si>
    <t>Growth Rate</t>
  </si>
  <si>
    <t>EBIAT(NOPAT)</t>
  </si>
  <si>
    <t>Cost of Equity</t>
  </si>
  <si>
    <t>Tax Rate</t>
  </si>
  <si>
    <t>WACC</t>
  </si>
  <si>
    <t>D In Working Capital</t>
  </si>
  <si>
    <t>Captial Expenditures</t>
  </si>
  <si>
    <t>D in Other Non-Current Assets</t>
  </si>
  <si>
    <t xml:space="preserve">D In Other Non-Current Liabilities  </t>
  </si>
  <si>
    <t>Terminal Value: Exit Multiple</t>
  </si>
  <si>
    <t>Unlevered FCF</t>
  </si>
  <si>
    <t>Final Year EBIT</t>
  </si>
  <si>
    <t>Terminal Value:</t>
  </si>
  <si>
    <t>Discount rate(WACC)</t>
  </si>
  <si>
    <t>Terminal Value</t>
  </si>
  <si>
    <t>Total Cash Flows</t>
  </si>
  <si>
    <t>Discount Factor</t>
  </si>
  <si>
    <t>Present Value</t>
  </si>
  <si>
    <t>Implied Share Price Analysis</t>
  </si>
  <si>
    <t>Cash (+)</t>
  </si>
  <si>
    <t>Debt (-)</t>
  </si>
  <si>
    <t>Equity Value</t>
  </si>
  <si>
    <t>Shares Outstanding</t>
  </si>
  <si>
    <t>Implied Share price</t>
  </si>
  <si>
    <t>Current Share Price</t>
  </si>
  <si>
    <t>Premium/(Discount)%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</si>
</sst>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5" formatCode="&quot;$&quot;#,##0_);\(&quot;$&quot;#,##0\)"/>
    <numFmt numFmtId="6" formatCode="&quot;$&quot;#,##0_);[Red]\(&quot;$&quot;#,##0\)"/>
    <numFmt numFmtId="7" formatCode="&quot;$&quot;#,##0.00_);\(&quot;$&quot;#,##0.00\)"/>
    <numFmt numFmtId="8" formatCode="&quot;$&quot;#,##0.00_);[Red]\(&quot;$&quot;#,##0.00\)"/>
    <numFmt numFmtId="44" formatCode="_(&quot;$&quot;* #,##0.00_);_(&quot;$&quot;* \(#,##0.00\);_(&quot;$&quot;* &quot;-&quot;??_);_(@_)"/>
    <numFmt numFmtId="43" formatCode="_(* #,##0.00_);_(* \(#,##0.00\);_(* &quot;-&quot;??_);_(@_)"/>
    <numFmt numFmtId="164" formatCode="0_);\(0\)"/>
    <numFmt numFmtId="165" formatCode="_(* #,##0_);_(* \(#,##0\);_(* &quot;-&quot;??_);_(@_)"/>
    <numFmt numFmtId="166" formatCode="&quot;$&quot;#,##0"/>
    <numFmt numFmtId="167" formatCode="0.0%"/>
    <numFmt numFmtId="168" formatCode="0.00_);\(0.00\)"/>
    <numFmt numFmtId="169" formatCode="\(0.0\x\);\(0.0\x\)"/>
    <numFmt numFmtId="170" formatCode="0.000%"/>
    <numFmt numFmtId="171" formatCode="&quot;$&quot;#,##0.00"/>
    <numFmt numFmtId="172" formatCode="0.0&quot;x&quot;\ "/>
    <numFmt numFmtId="173" formatCode="0.000"/>
  </numFmts>
  <fonts count="50" x14ac:knownFonts="1">
    <font>
      <sz val="11"/>
      <color theme="1"/>
      <name val="Calibri"/>
      <family val="2"/>
      <scheme val="minor"/>
    </font>
    <font>
      <sz val="11"/>
      <color theme="1"/>
      <name val="Calibri"/>
      <family val="2"/>
      <scheme val="minor"/>
    </font>
    <font>
      <sz val="11"/>
      <color theme="1"/>
      <name val="Calibri"/>
      <family val="2"/>
      <scheme val="minor"/>
    </font>
    <font>
      <u/>
      <sz val="11"/>
      <color theme="10"/>
      <name val="Calibri"/>
      <family val="2"/>
      <scheme val="minor"/>
    </font>
    <font>
      <b/>
      <sz val="11"/>
      <color theme="0"/>
      <name val="Calibri"/>
      <family val="2"/>
      <scheme val="minor"/>
    </font>
    <font>
      <b/>
      <sz val="11"/>
      <color rgb="FF000000"/>
      <name val="Calibri"/>
      <family val="2"/>
      <scheme val="minor"/>
    </font>
    <font>
      <sz val="11"/>
      <color rgb="FF215C98"/>
      <name val="Calibri"/>
      <family val="2"/>
      <scheme val="minor"/>
    </font>
    <font>
      <sz val="11"/>
      <color rgb="FF00B050"/>
      <name val="Calibri"/>
      <family val="2"/>
      <scheme val="minor"/>
    </font>
    <font>
      <sz val="11"/>
      <color rgb="FF47D359"/>
      <name val="Calibri"/>
      <family val="2"/>
      <scheme val="minor"/>
    </font>
    <font>
      <sz val="11"/>
      <color rgb="FF000000"/>
      <name val="Calibri"/>
      <family val="2"/>
      <scheme val="minor"/>
    </font>
    <font>
      <b/>
      <sz val="11"/>
      <color rgb="FF000000"/>
      <name val="Arial"/>
      <family val="2"/>
    </font>
    <font>
      <sz val="11"/>
      <color rgb="FF000000"/>
      <name val="Arial"/>
      <family val="2"/>
    </font>
    <font>
      <b/>
      <sz val="11"/>
      <color theme="0"/>
      <name val="Arial"/>
      <family val="2"/>
    </font>
    <font>
      <b/>
      <i/>
      <sz val="11"/>
      <color theme="0"/>
      <name val="Arial"/>
      <family val="2"/>
    </font>
    <font>
      <b/>
      <i/>
      <sz val="11"/>
      <color theme="0"/>
      <name val="Calibri"/>
      <family val="2"/>
      <scheme val="minor"/>
    </font>
    <font>
      <b/>
      <sz val="11"/>
      <color theme="1"/>
      <name val="Calibri"/>
      <family val="2"/>
      <scheme val="minor"/>
    </font>
    <font>
      <b/>
      <sz val="11"/>
      <color theme="0"/>
      <name val="Aptos Narrow"/>
      <family val="2"/>
    </font>
    <font>
      <sz val="12"/>
      <color theme="1"/>
      <name val="Calibri"/>
      <family val="2"/>
      <scheme val="minor"/>
    </font>
    <font>
      <sz val="11"/>
      <color rgb="FF0070C0"/>
      <name val="Calibri"/>
      <family val="2"/>
      <scheme val="minor"/>
    </font>
    <font>
      <b/>
      <sz val="11"/>
      <color rgb="FF00B050"/>
      <name val="Calibri"/>
      <family val="2"/>
      <scheme val="minor"/>
    </font>
    <font>
      <i/>
      <sz val="11"/>
      <color theme="1"/>
      <name val="Calibri"/>
      <family val="2"/>
      <scheme val="minor"/>
    </font>
    <font>
      <b/>
      <sz val="11"/>
      <color theme="0"/>
      <name val="Calibri"/>
      <family val="2"/>
    </font>
    <font>
      <sz val="11"/>
      <color theme="4"/>
      <name val="Calibri"/>
      <family val="2"/>
      <scheme val="minor"/>
    </font>
    <font>
      <sz val="9"/>
      <color indexed="81"/>
      <name val="Tahoma"/>
      <family val="2"/>
    </font>
    <font>
      <b/>
      <sz val="9"/>
      <color indexed="81"/>
      <name val="Tahoma"/>
      <family val="2"/>
    </font>
    <font>
      <b/>
      <sz val="11"/>
      <color rgb="FF000000"/>
      <name val="Aptos Narrow"/>
      <family val="2"/>
    </font>
    <font>
      <sz val="11"/>
      <color rgb="FF000000"/>
      <name val="Aptos Narrow"/>
      <family val="2"/>
    </font>
    <font>
      <sz val="11"/>
      <color theme="1"/>
      <name val="Arial"/>
      <family val="2"/>
    </font>
    <font>
      <b/>
      <sz val="11"/>
      <color theme="1"/>
      <name val="Arial"/>
      <family val="2"/>
    </font>
    <font>
      <sz val="11"/>
      <color rgb="FF4D93D9"/>
      <name val="Calibri"/>
      <family val="2"/>
      <scheme val="minor"/>
    </font>
    <font>
      <sz val="11"/>
      <color theme="6" tint="0.39997558519241921"/>
      <name val="Calibri"/>
      <family val="2"/>
      <scheme val="minor"/>
    </font>
    <font>
      <b/>
      <sz val="11"/>
      <name val="Calibri"/>
      <family val="2"/>
      <scheme val="minor"/>
    </font>
    <font>
      <sz val="11"/>
      <color rgb="FF0070C0"/>
      <name val="Arial"/>
      <family val="2"/>
    </font>
    <font>
      <b/>
      <sz val="10"/>
      <color rgb="FF000000"/>
      <name val="Tahoma"/>
      <family val="2"/>
    </font>
    <font>
      <sz val="10"/>
      <color rgb="FF000000"/>
      <name val="Calibri"/>
      <family val="2"/>
      <scheme val="minor"/>
    </font>
    <font>
      <sz val="10"/>
      <color rgb="FF000000"/>
      <name val="Tahoma"/>
      <family val="2"/>
    </font>
    <font>
      <sz val="11"/>
      <color rgb="FF000000"/>
      <name val="Calibri"/>
      <family val="2"/>
    </font>
    <font>
      <b/>
      <sz val="9"/>
      <color rgb="FF000000"/>
      <name val="Tahoma"/>
      <family val="2"/>
    </font>
    <font>
      <sz val="9"/>
      <color rgb="FF000000"/>
      <name val="Tahoma"/>
      <family val="2"/>
    </font>
    <font>
      <sz val="11"/>
      <color rgb="FF00B050"/>
      <name val="Aptos Narrow"/>
      <family val="2"/>
    </font>
    <font>
      <sz val="11"/>
      <color theme="0"/>
      <name val="Calibri"/>
      <family val="2"/>
      <scheme val="minor"/>
    </font>
    <font>
      <sz val="11"/>
      <color theme="1"/>
      <name val="Calibri"/>
      <family val="2"/>
    </font>
    <font>
      <b/>
      <i/>
      <sz val="11"/>
      <color theme="1"/>
      <name val="Calibri"/>
      <family val="2"/>
      <scheme val="minor"/>
    </font>
    <font>
      <b/>
      <sz val="11"/>
      <color theme="1"/>
      <name val="Aptos Narrow"/>
      <family val="2"/>
    </font>
    <font>
      <b/>
      <u/>
      <sz val="11"/>
      <color theme="1"/>
      <name val="Calibri"/>
      <family val="2"/>
      <scheme val="minor"/>
    </font>
    <font>
      <u/>
      <sz val="11"/>
      <color theme="1"/>
      <name val="Calibri"/>
      <family val="2"/>
      <scheme val="minor"/>
    </font>
    <font>
      <sz val="11"/>
      <color theme="4" tint="0.39997558519241921"/>
      <name val="Calibri"/>
      <family val="2"/>
      <scheme val="minor"/>
    </font>
    <font>
      <sz val="11"/>
      <color rgb="FF00B0F0"/>
      <name val="Calibri"/>
      <family val="2"/>
      <scheme val="minor"/>
    </font>
    <font>
      <sz val="11"/>
      <color rgb="FF00B0F0"/>
      <name val="Calibri"/>
      <family val="2"/>
    </font>
    <font>
      <b/>
      <sz val="11"/>
      <color theme="1"/>
      <name val="Calibri"/>
      <family val="2"/>
    </font>
  </fonts>
  <fills count="7">
    <fill>
      <patternFill patternType="none"/>
    </fill>
    <fill>
      <patternFill patternType="gray125"/>
    </fill>
    <fill>
      <patternFill patternType="solid">
        <fgColor rgb="FF7030A0"/>
        <bgColor indexed="64"/>
      </patternFill>
    </fill>
    <fill>
      <patternFill patternType="solid">
        <fgColor rgb="FFFFFF00"/>
        <bgColor rgb="FF000000"/>
      </patternFill>
    </fill>
    <fill>
      <patternFill patternType="solid">
        <fgColor rgb="FF47D359"/>
        <bgColor rgb="FF000000"/>
      </patternFill>
    </fill>
    <fill>
      <patternFill patternType="solid">
        <fgColor rgb="FFFFFF00"/>
        <bgColor indexed="64"/>
      </patternFill>
    </fill>
    <fill>
      <patternFill patternType="solid">
        <fgColor rgb="FF0070C0"/>
        <bgColor indexed="64"/>
      </patternFill>
    </fill>
  </fills>
  <borders count="4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style="thin">
        <color rgb="FF000000"/>
      </right>
      <top style="thin">
        <color auto="1"/>
      </top>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auto="1"/>
      </bottom>
      <diagonal/>
    </border>
    <border>
      <left style="thin">
        <color indexed="64"/>
      </left>
      <right/>
      <top/>
      <bottom style="thin">
        <color rgb="FF000000"/>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medium">
        <color auto="1"/>
      </top>
      <bottom/>
      <diagonal/>
    </border>
    <border>
      <left/>
      <right style="thin">
        <color indexed="64"/>
      </right>
      <top/>
      <bottom style="medium">
        <color indexed="64"/>
      </bottom>
      <diagonal/>
    </border>
    <border>
      <left/>
      <right/>
      <top/>
      <bottom style="medium">
        <color indexed="64"/>
      </bottom>
      <diagonal/>
    </border>
    <border>
      <left style="thin">
        <color indexed="64"/>
      </left>
      <right/>
      <top style="thin">
        <color rgb="FF000000"/>
      </top>
      <bottom/>
      <diagonal/>
    </border>
    <border>
      <left/>
      <right style="thin">
        <color rgb="FF000000"/>
      </right>
      <top style="thin">
        <color indexed="64"/>
      </top>
      <bottom style="thin">
        <color rgb="FF000000"/>
      </bottom>
      <diagonal/>
    </border>
    <border>
      <left/>
      <right/>
      <top style="thin">
        <color indexed="64"/>
      </top>
      <bottom style="thin">
        <color rgb="FF000000"/>
      </bottom>
      <diagonal/>
    </border>
    <border>
      <left/>
      <right style="medium">
        <color rgb="FFAACCFF"/>
      </right>
      <top style="thin">
        <color rgb="FF000000"/>
      </top>
      <bottom/>
      <diagonal/>
    </border>
    <border>
      <left/>
      <right style="thin">
        <color rgb="FF000000"/>
      </right>
      <top style="medium">
        <color indexed="64"/>
      </top>
      <bottom/>
      <diagonal/>
    </border>
    <border>
      <left style="thin">
        <color rgb="FF000000"/>
      </left>
      <right/>
      <top/>
      <bottom style="thin">
        <color indexed="64"/>
      </bottom>
      <diagonal/>
    </border>
    <border>
      <left/>
      <right/>
      <top/>
      <bottom style="medium">
        <color rgb="FF000000"/>
      </bottom>
      <diagonal/>
    </border>
    <border>
      <left/>
      <right style="thin">
        <color indexed="64"/>
      </right>
      <top/>
      <bottom style="medium">
        <color rgb="FF000000"/>
      </bottom>
      <diagonal/>
    </border>
    <border>
      <left/>
      <right style="thin">
        <color indexed="64"/>
      </right>
      <top/>
      <bottom style="thin">
        <color rgb="FF000000"/>
      </bottom>
      <diagonal/>
    </border>
    <border>
      <left style="thin">
        <color rgb="FF000000"/>
      </left>
      <right/>
      <top style="thin">
        <color indexed="64"/>
      </top>
      <bottom/>
      <diagonal/>
    </border>
    <border>
      <left/>
      <right style="thin">
        <color indexed="64"/>
      </right>
      <top style="thin">
        <color rgb="FF000000"/>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auto="1"/>
      </left>
      <right style="thin">
        <color auto="1"/>
      </right>
      <top/>
      <bottom style="thin">
        <color auto="1"/>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style="thin">
        <color indexed="64"/>
      </left>
      <right style="thin">
        <color rgb="FF000000"/>
      </right>
      <top style="thin">
        <color rgb="FF000000"/>
      </top>
      <bottom style="thin">
        <color indexed="64"/>
      </bottom>
      <diagonal/>
    </border>
    <border>
      <left/>
      <right style="thin">
        <color indexed="64"/>
      </right>
      <top style="medium">
        <color indexed="64"/>
      </top>
      <bottom/>
      <diagonal/>
    </border>
    <border>
      <left style="thin">
        <color indexed="64"/>
      </left>
      <right style="thin">
        <color rgb="FF000000"/>
      </right>
      <top style="thin">
        <color indexed="64"/>
      </top>
      <bottom style="thin">
        <color indexed="64"/>
      </bottom>
      <diagonal/>
    </border>
  </borders>
  <cellStyleXfs count="9">
    <xf numFmtId="0" fontId="0" fillId="0" borderId="0"/>
    <xf numFmtId="0" fontId="3" fillId="0" borderId="0" applyNumberForma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17" fillId="0" borderId="0"/>
    <xf numFmtId="9" fontId="17" fillId="0" borderId="0" applyFont="0" applyFill="0" applyBorder="0" applyAlignment="0" applyProtection="0"/>
    <xf numFmtId="43" fontId="17" fillId="0" borderId="0" applyFont="0" applyFill="0" applyBorder="0" applyAlignment="0" applyProtection="0"/>
    <xf numFmtId="44" fontId="17" fillId="0" borderId="0" applyFont="0" applyFill="0" applyBorder="0" applyAlignment="0" applyProtection="0"/>
    <xf numFmtId="9" fontId="1" fillId="0" borderId="0" applyFont="0" applyFill="0" applyBorder="0" applyAlignment="0" applyProtection="0"/>
  </cellStyleXfs>
  <cellXfs count="589">
    <xf numFmtId="0" fontId="0" fillId="0" borderId="0" xfId="0"/>
    <xf numFmtId="0" fontId="6" fillId="0" borderId="2" xfId="0" applyFont="1" applyBorder="1"/>
    <xf numFmtId="0" fontId="9" fillId="0" borderId="0" xfId="0" applyFont="1"/>
    <xf numFmtId="0" fontId="0" fillId="0" borderId="6" xfId="1" applyFont="1" applyFill="1" applyBorder="1" applyAlignment="1">
      <alignment horizontal="left" vertical="top"/>
    </xf>
    <xf numFmtId="3" fontId="11" fillId="0" borderId="7" xfId="0" applyNumberFormat="1" applyFont="1" applyBorder="1" applyAlignment="1">
      <alignment horizontal="right" vertical="center"/>
    </xf>
    <xf numFmtId="166" fontId="10" fillId="0" borderId="4" xfId="0" applyNumberFormat="1" applyFont="1" applyBorder="1" applyAlignment="1">
      <alignment horizontal="right" vertical="center"/>
    </xf>
    <xf numFmtId="166" fontId="10" fillId="0" borderId="5" xfId="0" applyNumberFormat="1" applyFont="1" applyBorder="1" applyAlignment="1">
      <alignment horizontal="right" vertical="center"/>
    </xf>
    <xf numFmtId="0" fontId="11" fillId="0" borderId="7" xfId="0" applyFont="1" applyBorder="1" applyAlignment="1">
      <alignment horizontal="right" vertical="center"/>
    </xf>
    <xf numFmtId="164" fontId="11" fillId="0" borderId="7" xfId="0" applyNumberFormat="1" applyFont="1" applyBorder="1" applyAlignment="1">
      <alignment horizontal="right" vertical="center"/>
    </xf>
    <xf numFmtId="5" fontId="5" fillId="0" borderId="4" xfId="0" applyNumberFormat="1" applyFont="1" applyBorder="1" applyAlignment="1">
      <alignment vertical="center"/>
    </xf>
    <xf numFmtId="0" fontId="0" fillId="0" borderId="1" xfId="0" applyBorder="1"/>
    <xf numFmtId="0" fontId="0" fillId="0" borderId="6" xfId="0" applyBorder="1"/>
    <xf numFmtId="6" fontId="5" fillId="0" borderId="0" xfId="0" applyNumberFormat="1" applyFont="1" applyAlignment="1">
      <alignment vertical="center"/>
    </xf>
    <xf numFmtId="0" fontId="0" fillId="0" borderId="11" xfId="0" applyBorder="1"/>
    <xf numFmtId="0" fontId="15" fillId="0" borderId="11" xfId="0" applyFont="1" applyBorder="1"/>
    <xf numFmtId="0" fontId="15" fillId="0" borderId="6" xfId="0" applyFont="1" applyBorder="1"/>
    <xf numFmtId="0" fontId="0" fillId="0" borderId="4" xfId="0" applyBorder="1"/>
    <xf numFmtId="10" fontId="0" fillId="0" borderId="0" xfId="0" applyNumberFormat="1"/>
    <xf numFmtId="0" fontId="15" fillId="0" borderId="1" xfId="0" applyFont="1" applyBorder="1"/>
    <xf numFmtId="0" fontId="11" fillId="0" borderId="0" xfId="0" applyFont="1" applyAlignment="1">
      <alignment horizontal="left" vertical="center"/>
    </xf>
    <xf numFmtId="166" fontId="0" fillId="0" borderId="4" xfId="0" applyNumberFormat="1" applyBorder="1"/>
    <xf numFmtId="0" fontId="0" fillId="0" borderId="7" xfId="0" applyBorder="1"/>
    <xf numFmtId="5" fontId="15" fillId="0" borderId="0" xfId="4" applyNumberFormat="1" applyFont="1"/>
    <xf numFmtId="37" fontId="18" fillId="0" borderId="0" xfId="4" applyNumberFormat="1" applyFont="1"/>
    <xf numFmtId="5" fontId="7" fillId="0" borderId="0" xfId="4" applyNumberFormat="1" applyFont="1"/>
    <xf numFmtId="37" fontId="7" fillId="0" borderId="0" xfId="4" applyNumberFormat="1" applyFont="1"/>
    <xf numFmtId="5" fontId="19" fillId="0" borderId="0" xfId="4" applyNumberFormat="1" applyFont="1"/>
    <xf numFmtId="3" fontId="20" fillId="0" borderId="0" xfId="4" applyNumberFormat="1" applyFont="1"/>
    <xf numFmtId="37" fontId="7" fillId="0" borderId="7" xfId="4" applyNumberFormat="1" applyFont="1" applyBorder="1"/>
    <xf numFmtId="37" fontId="7" fillId="0" borderId="12" xfId="4" applyNumberFormat="1" applyFont="1" applyBorder="1"/>
    <xf numFmtId="3" fontId="7" fillId="0" borderId="0" xfId="4" applyNumberFormat="1" applyFont="1"/>
    <xf numFmtId="37" fontId="15" fillId="0" borderId="0" xfId="4" applyNumberFormat="1" applyFont="1"/>
    <xf numFmtId="5" fontId="15" fillId="0" borderId="12" xfId="4" applyNumberFormat="1" applyFont="1" applyBorder="1"/>
    <xf numFmtId="3" fontId="20" fillId="0" borderId="12" xfId="4" applyNumberFormat="1" applyFont="1" applyBorder="1"/>
    <xf numFmtId="37" fontId="15" fillId="0" borderId="12" xfId="4" applyNumberFormat="1" applyFont="1" applyBorder="1"/>
    <xf numFmtId="37" fontId="9" fillId="0" borderId="26" xfId="0" applyNumberFormat="1" applyFont="1" applyBorder="1" applyAlignment="1">
      <alignment horizontal="right" vertical="center"/>
    </xf>
    <xf numFmtId="0" fontId="0" fillId="0" borderId="26" xfId="0" applyBorder="1"/>
    <xf numFmtId="0" fontId="0" fillId="0" borderId="25" xfId="0" applyBorder="1"/>
    <xf numFmtId="0" fontId="4" fillId="0" borderId="0" xfId="0" applyFont="1"/>
    <xf numFmtId="0" fontId="21" fillId="2" borderId="23" xfId="0" applyFont="1" applyFill="1" applyBorder="1" applyAlignment="1">
      <alignment horizontal="center" vertical="center"/>
    </xf>
    <xf numFmtId="0" fontId="21" fillId="2" borderId="22" xfId="0" applyFont="1" applyFill="1" applyBorder="1" applyAlignment="1">
      <alignment horizontal="center" vertical="center"/>
    </xf>
    <xf numFmtId="0" fontId="21" fillId="2" borderId="21" xfId="0" applyFont="1" applyFill="1" applyBorder="1" applyAlignment="1">
      <alignment horizontal="center" vertical="center"/>
    </xf>
    <xf numFmtId="37" fontId="0" fillId="0" borderId="0" xfId="0" applyNumberFormat="1"/>
    <xf numFmtId="9" fontId="0" fillId="0" borderId="0" xfId="0" applyNumberFormat="1"/>
    <xf numFmtId="10" fontId="0" fillId="0" borderId="0" xfId="3" applyNumberFormat="1" applyFont="1" applyBorder="1"/>
    <xf numFmtId="0" fontId="15" fillId="0" borderId="15" xfId="0" applyFont="1" applyBorder="1"/>
    <xf numFmtId="10" fontId="0" fillId="0" borderId="17" xfId="3" applyNumberFormat="1" applyFont="1" applyBorder="1"/>
    <xf numFmtId="10" fontId="0" fillId="0" borderId="15" xfId="3" applyNumberFormat="1" applyFont="1" applyBorder="1"/>
    <xf numFmtId="10" fontId="0" fillId="0" borderId="16" xfId="3" applyNumberFormat="1" applyFont="1" applyBorder="1"/>
    <xf numFmtId="10" fontId="0" fillId="0" borderId="9" xfId="3" applyNumberFormat="1" applyFont="1" applyBorder="1"/>
    <xf numFmtId="10" fontId="0" fillId="0" borderId="12" xfId="3" applyNumberFormat="1" applyFont="1" applyBorder="1"/>
    <xf numFmtId="37" fontId="0" fillId="0" borderId="12" xfId="0" applyNumberFormat="1" applyBorder="1"/>
    <xf numFmtId="10" fontId="9" fillId="0" borderId="0" xfId="0" applyNumberFormat="1" applyFont="1"/>
    <xf numFmtId="10" fontId="9" fillId="0" borderId="12" xfId="0" applyNumberFormat="1" applyFont="1" applyBorder="1"/>
    <xf numFmtId="10" fontId="9" fillId="0" borderId="18" xfId="0" applyNumberFormat="1" applyFont="1" applyBorder="1"/>
    <xf numFmtId="10" fontId="9" fillId="0" borderId="16" xfId="0" applyNumberFormat="1" applyFont="1" applyBorder="1"/>
    <xf numFmtId="10" fontId="9" fillId="0" borderId="17" xfId="0" applyNumberFormat="1" applyFont="1" applyBorder="1"/>
    <xf numFmtId="0" fontId="9" fillId="0" borderId="18" xfId="0" applyFont="1" applyBorder="1"/>
    <xf numFmtId="9" fontId="9" fillId="0" borderId="0" xfId="0" applyNumberFormat="1" applyFont="1"/>
    <xf numFmtId="37" fontId="22" fillId="0" borderId="0" xfId="4" applyNumberFormat="1" applyFont="1"/>
    <xf numFmtId="3" fontId="7" fillId="0" borderId="7" xfId="4" applyNumberFormat="1" applyFont="1" applyBorder="1"/>
    <xf numFmtId="5" fontId="15" fillId="0" borderId="2" xfId="4" applyNumberFormat="1" applyFont="1" applyBorder="1"/>
    <xf numFmtId="37" fontId="7" fillId="0" borderId="2" xfId="4" applyNumberFormat="1" applyFont="1" applyBorder="1"/>
    <xf numFmtId="5" fontId="15" fillId="0" borderId="29" xfId="4" applyNumberFormat="1" applyFont="1" applyBorder="1"/>
    <xf numFmtId="5" fontId="15" fillId="0" borderId="28" xfId="4" applyNumberFormat="1" applyFont="1" applyBorder="1"/>
    <xf numFmtId="166" fontId="0" fillId="0" borderId="22" xfId="0" applyNumberFormat="1" applyBorder="1"/>
    <xf numFmtId="166" fontId="0" fillId="0" borderId="21" xfId="0" applyNumberFormat="1" applyBorder="1"/>
    <xf numFmtId="0" fontId="0" fillId="0" borderId="0" xfId="0" applyAlignment="1">
      <alignment vertical="top" wrapText="1"/>
    </xf>
    <xf numFmtId="5" fontId="7" fillId="0" borderId="0" xfId="0" applyNumberFormat="1" applyFont="1" applyAlignment="1">
      <alignment wrapText="1"/>
    </xf>
    <xf numFmtId="0" fontId="0" fillId="0" borderId="2" xfId="0" applyBorder="1"/>
    <xf numFmtId="0" fontId="0" fillId="0" borderId="3" xfId="0" applyBorder="1"/>
    <xf numFmtId="0" fontId="6" fillId="0" borderId="7" xfId="0" applyFont="1" applyBorder="1"/>
    <xf numFmtId="37" fontId="8" fillId="0" borderId="7" xfId="0" applyNumberFormat="1" applyFont="1" applyBorder="1"/>
    <xf numFmtId="37" fontId="7" fillId="0" borderId="7" xfId="0" applyNumberFormat="1" applyFont="1" applyBorder="1"/>
    <xf numFmtId="164" fontId="9" fillId="0" borderId="7" xfId="0" applyNumberFormat="1" applyFont="1" applyBorder="1"/>
    <xf numFmtId="5" fontId="7" fillId="0" borderId="12" xfId="0" applyNumberFormat="1" applyFont="1" applyBorder="1" applyAlignment="1">
      <alignment wrapText="1"/>
    </xf>
    <xf numFmtId="10" fontId="9" fillId="0" borderId="14" xfId="0" applyNumberFormat="1" applyFont="1" applyBorder="1"/>
    <xf numFmtId="5" fontId="7" fillId="0" borderId="9" xfId="0" applyNumberFormat="1" applyFont="1" applyBorder="1" applyAlignment="1">
      <alignment wrapText="1"/>
    </xf>
    <xf numFmtId="10" fontId="0" fillId="0" borderId="13" xfId="3" applyNumberFormat="1" applyFont="1" applyBorder="1"/>
    <xf numFmtId="10" fontId="0" fillId="0" borderId="18" xfId="3" applyNumberFormat="1" applyFont="1" applyBorder="1"/>
    <xf numFmtId="10" fontId="0" fillId="0" borderId="14" xfId="3" applyNumberFormat="1" applyFont="1" applyBorder="1"/>
    <xf numFmtId="0" fontId="26" fillId="0" borderId="6" xfId="0" applyFont="1" applyBorder="1"/>
    <xf numFmtId="0" fontId="26" fillId="0" borderId="11" xfId="0" applyFont="1" applyBorder="1"/>
    <xf numFmtId="6" fontId="5" fillId="0" borderId="31" xfId="0" applyNumberFormat="1" applyFont="1" applyBorder="1" applyAlignment="1">
      <alignment vertical="center"/>
    </xf>
    <xf numFmtId="0" fontId="27" fillId="0" borderId="6" xfId="0" applyFont="1" applyBorder="1"/>
    <xf numFmtId="0" fontId="27" fillId="0" borderId="7" xfId="0" applyFont="1" applyBorder="1"/>
    <xf numFmtId="3" fontId="11" fillId="0" borderId="7" xfId="0" applyNumberFormat="1" applyFont="1" applyBorder="1" applyAlignment="1">
      <alignment horizontal="right"/>
    </xf>
    <xf numFmtId="3" fontId="27" fillId="0" borderId="6" xfId="0" applyNumberFormat="1" applyFont="1" applyBorder="1" applyAlignment="1">
      <alignment horizontal="right"/>
    </xf>
    <xf numFmtId="3" fontId="27" fillId="0" borderId="6" xfId="0" applyNumberFormat="1" applyFont="1" applyBorder="1"/>
    <xf numFmtId="166" fontId="28" fillId="0" borderId="6" xfId="0" applyNumberFormat="1" applyFont="1" applyBorder="1" applyAlignment="1">
      <alignment horizontal="right"/>
    </xf>
    <xf numFmtId="166" fontId="28" fillId="0" borderId="6" xfId="0" applyNumberFormat="1" applyFont="1" applyBorder="1"/>
    <xf numFmtId="37" fontId="5" fillId="0" borderId="0" xfId="0" applyNumberFormat="1" applyFont="1" applyAlignment="1">
      <alignment horizontal="right" vertical="center"/>
    </xf>
    <xf numFmtId="37" fontId="5" fillId="0" borderId="7" xfId="0" applyNumberFormat="1" applyFont="1" applyBorder="1" applyAlignment="1">
      <alignment horizontal="right" vertical="center"/>
    </xf>
    <xf numFmtId="37" fontId="0" fillId="0" borderId="33" xfId="0" applyNumberFormat="1" applyBorder="1"/>
    <xf numFmtId="5" fontId="5" fillId="0" borderId="5" xfId="0" applyNumberFormat="1" applyFont="1" applyBorder="1" applyAlignment="1">
      <alignment vertical="center"/>
    </xf>
    <xf numFmtId="37" fontId="0" fillId="0" borderId="7" xfId="0" applyNumberFormat="1" applyBorder="1"/>
    <xf numFmtId="37" fontId="0" fillId="0" borderId="34" xfId="0" applyNumberFormat="1" applyBorder="1"/>
    <xf numFmtId="5" fontId="5" fillId="0" borderId="0" xfId="0" applyNumberFormat="1" applyFont="1" applyAlignment="1">
      <alignment vertical="center"/>
    </xf>
    <xf numFmtId="169" fontId="0" fillId="0" borderId="0" xfId="0" applyNumberFormat="1"/>
    <xf numFmtId="37" fontId="18" fillId="0" borderId="0" xfId="0" applyNumberFormat="1" applyFont="1" applyAlignment="1">
      <alignment horizontal="right" vertical="center"/>
    </xf>
    <xf numFmtId="37" fontId="18" fillId="0" borderId="7" xfId="0" applyNumberFormat="1" applyFont="1" applyBorder="1" applyAlignment="1">
      <alignment horizontal="right" vertical="center"/>
    </xf>
    <xf numFmtId="37" fontId="18" fillId="0" borderId="26" xfId="0" applyNumberFormat="1" applyFont="1" applyBorder="1" applyAlignment="1">
      <alignment horizontal="right" vertical="center"/>
    </xf>
    <xf numFmtId="37" fontId="18" fillId="0" borderId="25" xfId="0" applyNumberFormat="1" applyFont="1" applyBorder="1" applyAlignment="1">
      <alignment horizontal="right" vertical="center"/>
    </xf>
    <xf numFmtId="37" fontId="18" fillId="0" borderId="33" xfId="0" applyNumberFormat="1" applyFont="1" applyBorder="1" applyAlignment="1">
      <alignment horizontal="right" vertical="center"/>
    </xf>
    <xf numFmtId="37" fontId="18" fillId="0" borderId="34" xfId="0" applyNumberFormat="1" applyFont="1" applyBorder="1" applyAlignment="1">
      <alignment horizontal="right" vertical="center"/>
    </xf>
    <xf numFmtId="0" fontId="26" fillId="0" borderId="4" xfId="0" applyFont="1" applyBorder="1"/>
    <xf numFmtId="0" fontId="1" fillId="0" borderId="0" xfId="0" applyFont="1"/>
    <xf numFmtId="0" fontId="9" fillId="0" borderId="2" xfId="0" applyFont="1" applyBorder="1" applyAlignment="1">
      <alignment horizontal="left" vertical="center"/>
    </xf>
    <xf numFmtId="0" fontId="9" fillId="0" borderId="3" xfId="0" applyFont="1" applyBorder="1" applyAlignment="1">
      <alignment horizontal="left" vertical="center"/>
    </xf>
    <xf numFmtId="166" fontId="5" fillId="0" borderId="0" xfId="0" applyNumberFormat="1" applyFont="1" applyAlignment="1">
      <alignment horizontal="right" vertical="center"/>
    </xf>
    <xf numFmtId="166" fontId="5" fillId="0" borderId="7" xfId="0" applyNumberFormat="1" applyFont="1" applyBorder="1" applyAlignment="1">
      <alignment horizontal="right" vertical="center"/>
    </xf>
    <xf numFmtId="6" fontId="5" fillId="0" borderId="7" xfId="0" applyNumberFormat="1" applyFont="1" applyBorder="1" applyAlignment="1">
      <alignment vertical="center"/>
    </xf>
    <xf numFmtId="166" fontId="5" fillId="0" borderId="0" xfId="0" applyNumberFormat="1" applyFont="1" applyAlignment="1">
      <alignment vertical="center"/>
    </xf>
    <xf numFmtId="166" fontId="5" fillId="0" borderId="7" xfId="0" applyNumberFormat="1" applyFont="1" applyBorder="1" applyAlignment="1">
      <alignment vertical="center"/>
    </xf>
    <xf numFmtId="0" fontId="4" fillId="2" borderId="1" xfId="0" applyFont="1" applyFill="1" applyBorder="1" applyAlignment="1">
      <alignment horizontal="centerContinuous"/>
    </xf>
    <xf numFmtId="0" fontId="4" fillId="2" borderId="2" xfId="0" applyFont="1" applyFill="1" applyBorder="1" applyAlignment="1">
      <alignment horizontal="centerContinuous"/>
    </xf>
    <xf numFmtId="0" fontId="4" fillId="2" borderId="3" xfId="0" applyFont="1" applyFill="1" applyBorder="1" applyAlignment="1">
      <alignment horizontal="centerContinuous"/>
    </xf>
    <xf numFmtId="0" fontId="4" fillId="2" borderId="22" xfId="0" applyFont="1" applyFill="1" applyBorder="1" applyAlignment="1">
      <alignment horizontal="center" vertical="center"/>
    </xf>
    <xf numFmtId="0" fontId="4" fillId="2" borderId="21" xfId="0" applyFont="1" applyFill="1" applyBorder="1" applyAlignment="1">
      <alignment horizontal="center" vertical="center"/>
    </xf>
    <xf numFmtId="5" fontId="5" fillId="0" borderId="7" xfId="0" applyNumberFormat="1" applyFont="1" applyBorder="1"/>
    <xf numFmtId="3" fontId="7" fillId="0" borderId="5" xfId="4" applyNumberFormat="1" applyFont="1" applyBorder="1"/>
    <xf numFmtId="37" fontId="7" fillId="0" borderId="5" xfId="4" applyNumberFormat="1" applyFont="1" applyBorder="1"/>
    <xf numFmtId="5" fontId="15" fillId="0" borderId="3" xfId="4" applyNumberFormat="1" applyFont="1" applyBorder="1"/>
    <xf numFmtId="37" fontId="22" fillId="0" borderId="7" xfId="4" applyNumberFormat="1" applyFont="1" applyBorder="1"/>
    <xf numFmtId="37" fontId="7" fillId="0" borderId="4" xfId="4" applyNumberFormat="1" applyFont="1" applyBorder="1"/>
    <xf numFmtId="37" fontId="22" fillId="0" borderId="5" xfId="4" applyNumberFormat="1" applyFont="1" applyBorder="1"/>
    <xf numFmtId="164" fontId="9" fillId="0" borderId="0" xfId="0" applyNumberFormat="1" applyFont="1" applyAlignment="1">
      <alignment horizontal="right"/>
    </xf>
    <xf numFmtId="5" fontId="9" fillId="0" borderId="0" xfId="0" applyNumberFormat="1" applyFont="1" applyAlignment="1">
      <alignment wrapText="1"/>
    </xf>
    <xf numFmtId="5" fontId="9" fillId="0" borderId="4" xfId="0" applyNumberFormat="1" applyFont="1" applyBorder="1" applyAlignment="1">
      <alignment wrapText="1"/>
    </xf>
    <xf numFmtId="165" fontId="0" fillId="0" borderId="4" xfId="2" applyNumberFormat="1" applyFont="1" applyBorder="1"/>
    <xf numFmtId="165" fontId="0" fillId="0" borderId="5" xfId="2" applyNumberFormat="1" applyFont="1" applyBorder="1"/>
    <xf numFmtId="37" fontId="7" fillId="0" borderId="0" xfId="0" applyNumberFormat="1" applyFont="1" applyAlignment="1">
      <alignment wrapText="1"/>
    </xf>
    <xf numFmtId="37" fontId="7" fillId="0" borderId="7" xfId="0" applyNumberFormat="1" applyFont="1" applyBorder="1" applyAlignment="1">
      <alignment wrapText="1"/>
    </xf>
    <xf numFmtId="37" fontId="7" fillId="0" borderId="4" xfId="0" applyNumberFormat="1" applyFont="1" applyBorder="1" applyAlignment="1">
      <alignment wrapText="1"/>
    </xf>
    <xf numFmtId="37" fontId="7" fillId="0" borderId="5" xfId="0" applyNumberFormat="1" applyFont="1" applyBorder="1" applyAlignment="1">
      <alignment wrapText="1"/>
    </xf>
    <xf numFmtId="5" fontId="15" fillId="0" borderId="2" xfId="0" applyNumberFormat="1" applyFont="1" applyBorder="1"/>
    <xf numFmtId="37" fontId="7" fillId="0" borderId="4" xfId="0" applyNumberFormat="1" applyFont="1" applyBorder="1"/>
    <xf numFmtId="5" fontId="15" fillId="0" borderId="3" xfId="0" applyNumberFormat="1" applyFont="1" applyBorder="1"/>
    <xf numFmtId="37" fontId="7" fillId="0" borderId="0" xfId="0" applyNumberFormat="1" applyFont="1"/>
    <xf numFmtId="37" fontId="7" fillId="0" borderId="5" xfId="0" applyNumberFormat="1" applyFont="1" applyBorder="1"/>
    <xf numFmtId="5" fontId="15" fillId="0" borderId="0" xfId="0" applyNumberFormat="1" applyFont="1"/>
    <xf numFmtId="10" fontId="7" fillId="0" borderId="3" xfId="0" applyNumberFormat="1" applyFont="1" applyBorder="1"/>
    <xf numFmtId="10" fontId="7" fillId="0" borderId="7" xfId="0" applyNumberFormat="1" applyFont="1" applyBorder="1"/>
    <xf numFmtId="10" fontId="7" fillId="0" borderId="0" xfId="0" applyNumberFormat="1" applyFont="1"/>
    <xf numFmtId="10" fontId="7" fillId="0" borderId="4" xfId="0" applyNumberFormat="1" applyFont="1" applyBorder="1"/>
    <xf numFmtId="10" fontId="7" fillId="0" borderId="5" xfId="0" applyNumberFormat="1" applyFont="1" applyBorder="1"/>
    <xf numFmtId="39" fontId="9" fillId="0" borderId="0" xfId="0" applyNumberFormat="1" applyFont="1" applyAlignment="1">
      <alignment horizontal="right"/>
    </xf>
    <xf numFmtId="39" fontId="9" fillId="0" borderId="12" xfId="0" applyNumberFormat="1" applyFont="1" applyBorder="1" applyAlignment="1">
      <alignment horizontal="right"/>
    </xf>
    <xf numFmtId="39" fontId="9" fillId="0" borderId="0" xfId="0" applyNumberFormat="1" applyFont="1"/>
    <xf numFmtId="170" fontId="29" fillId="0" borderId="0" xfId="0" applyNumberFormat="1" applyFont="1" applyAlignment="1">
      <alignment horizontal="right"/>
    </xf>
    <xf numFmtId="9" fontId="29" fillId="0" borderId="0" xfId="0" applyNumberFormat="1" applyFont="1" applyAlignment="1">
      <alignment horizontal="right"/>
    </xf>
    <xf numFmtId="9" fontId="29" fillId="0" borderId="12" xfId="0" applyNumberFormat="1" applyFont="1" applyBorder="1" applyAlignment="1">
      <alignment horizontal="right"/>
    </xf>
    <xf numFmtId="168" fontId="9" fillId="0" borderId="18" xfId="0" applyNumberFormat="1" applyFont="1" applyBorder="1" applyAlignment="1">
      <alignment horizontal="right"/>
    </xf>
    <xf numFmtId="168" fontId="9" fillId="0" borderId="14" xfId="0" applyNumberFormat="1" applyFont="1" applyBorder="1" applyAlignment="1">
      <alignment horizontal="right"/>
    </xf>
    <xf numFmtId="0" fontId="9" fillId="0" borderId="0" xfId="0" applyFont="1" applyAlignment="1">
      <alignment horizontal="right"/>
    </xf>
    <xf numFmtId="2" fontId="8" fillId="0" borderId="0" xfId="0" applyNumberFormat="1" applyFont="1" applyAlignment="1">
      <alignment horizontal="right"/>
    </xf>
    <xf numFmtId="2" fontId="8" fillId="0" borderId="12" xfId="0" applyNumberFormat="1" applyFont="1" applyBorder="1" applyAlignment="1">
      <alignment horizontal="right"/>
    </xf>
    <xf numFmtId="2" fontId="9" fillId="0" borderId="0" xfId="0" applyNumberFormat="1" applyFont="1" applyAlignment="1">
      <alignment horizontal="right"/>
    </xf>
    <xf numFmtId="2" fontId="9" fillId="0" borderId="12" xfId="0" applyNumberFormat="1" applyFont="1" applyBorder="1" applyAlignment="1">
      <alignment horizontal="right"/>
    </xf>
    <xf numFmtId="1" fontId="9" fillId="0" borderId="0" xfId="0" applyNumberFormat="1" applyFont="1" applyAlignment="1">
      <alignment horizontal="right"/>
    </xf>
    <xf numFmtId="1" fontId="9" fillId="0" borderId="12" xfId="0" applyNumberFormat="1" applyFont="1" applyBorder="1" applyAlignment="1">
      <alignment horizontal="right"/>
    </xf>
    <xf numFmtId="0" fontId="29" fillId="0" borderId="0" xfId="0" applyFont="1" applyAlignment="1">
      <alignment horizontal="right"/>
    </xf>
    <xf numFmtId="0" fontId="9" fillId="0" borderId="12" xfId="0" applyFont="1" applyBorder="1" applyAlignment="1">
      <alignment horizontal="right"/>
    </xf>
    <xf numFmtId="0" fontId="9" fillId="0" borderId="4" xfId="0" applyFont="1" applyBorder="1" applyAlignment="1">
      <alignment horizontal="right"/>
    </xf>
    <xf numFmtId="2" fontId="9" fillId="0" borderId="4" xfId="0" applyNumberFormat="1" applyFont="1" applyBorder="1" applyAlignment="1">
      <alignment horizontal="right"/>
    </xf>
    <xf numFmtId="2" fontId="9" fillId="0" borderId="19" xfId="0" applyNumberFormat="1" applyFont="1" applyBorder="1" applyAlignment="1">
      <alignment horizontal="right"/>
    </xf>
    <xf numFmtId="0" fontId="9" fillId="0" borderId="3" xfId="0" applyFont="1" applyBorder="1" applyAlignment="1">
      <alignment horizontal="right"/>
    </xf>
    <xf numFmtId="0" fontId="9" fillId="0" borderId="2" xfId="0" applyFont="1" applyBorder="1" applyAlignment="1">
      <alignment horizontal="right"/>
    </xf>
    <xf numFmtId="37" fontId="30" fillId="0" borderId="0" xfId="0" applyNumberFormat="1" applyFont="1" applyAlignment="1">
      <alignment horizontal="right"/>
    </xf>
    <xf numFmtId="1" fontId="30" fillId="0" borderId="0" xfId="0" applyNumberFormat="1" applyFont="1" applyAlignment="1">
      <alignment horizontal="right"/>
    </xf>
    <xf numFmtId="1" fontId="30" fillId="0" borderId="12" xfId="0" applyNumberFormat="1" applyFont="1" applyBorder="1" applyAlignment="1">
      <alignment horizontal="right"/>
    </xf>
    <xf numFmtId="170" fontId="29" fillId="0" borderId="12" xfId="0" applyNumberFormat="1" applyFont="1" applyBorder="1" applyAlignment="1">
      <alignment horizontal="right"/>
    </xf>
    <xf numFmtId="4" fontId="9" fillId="0" borderId="12" xfId="0" applyNumberFormat="1" applyFont="1" applyBorder="1" applyAlignment="1">
      <alignment horizontal="right"/>
    </xf>
    <xf numFmtId="1" fontId="8" fillId="0" borderId="0" xfId="0" applyNumberFormat="1" applyFont="1" applyAlignment="1">
      <alignment horizontal="right"/>
    </xf>
    <xf numFmtId="1" fontId="8" fillId="0" borderId="12" xfId="0" applyNumberFormat="1" applyFont="1" applyBorder="1" applyAlignment="1">
      <alignment horizontal="right"/>
    </xf>
    <xf numFmtId="3" fontId="11" fillId="0" borderId="0" xfId="0" applyNumberFormat="1" applyFont="1" applyAlignment="1">
      <alignment horizontal="right" vertical="center"/>
    </xf>
    <xf numFmtId="0" fontId="27" fillId="0" borderId="0" xfId="0" applyFont="1"/>
    <xf numFmtId="166" fontId="10" fillId="0" borderId="0" xfId="0" applyNumberFormat="1" applyFont="1" applyAlignment="1">
      <alignment horizontal="right" vertical="center"/>
    </xf>
    <xf numFmtId="166" fontId="10" fillId="0" borderId="7" xfId="0" applyNumberFormat="1" applyFont="1" applyBorder="1" applyAlignment="1">
      <alignment horizontal="right" vertical="center"/>
    </xf>
    <xf numFmtId="166" fontId="10" fillId="0" borderId="11" xfId="0" applyNumberFormat="1" applyFont="1" applyBorder="1" applyAlignment="1">
      <alignment horizontal="right" vertical="center"/>
    </xf>
    <xf numFmtId="3" fontId="27" fillId="0" borderId="0" xfId="0" applyNumberFormat="1" applyFont="1" applyAlignment="1">
      <alignment horizontal="right"/>
    </xf>
    <xf numFmtId="3" fontId="27" fillId="0" borderId="0" xfId="0" applyNumberFormat="1" applyFont="1" applyAlignment="1">
      <alignment horizontal="right" wrapText="1"/>
    </xf>
    <xf numFmtId="3" fontId="11" fillId="0" borderId="0" xfId="0" applyNumberFormat="1" applyFont="1" applyAlignment="1">
      <alignment horizontal="right"/>
    </xf>
    <xf numFmtId="166" fontId="28" fillId="0" borderId="0" xfId="0" applyNumberFormat="1" applyFont="1" applyAlignment="1">
      <alignment horizontal="right"/>
    </xf>
    <xf numFmtId="3" fontId="27" fillId="0" borderId="7" xfId="0" applyNumberFormat="1" applyFont="1" applyBorder="1" applyAlignment="1">
      <alignment horizontal="right"/>
    </xf>
    <xf numFmtId="3" fontId="27" fillId="0" borderId="6" xfId="0" applyNumberFormat="1" applyFont="1" applyBorder="1" applyAlignment="1">
      <alignment horizontal="right" wrapText="1"/>
    </xf>
    <xf numFmtId="3" fontId="27" fillId="0" borderId="7" xfId="0" applyNumberFormat="1" applyFont="1" applyBorder="1" applyAlignment="1">
      <alignment horizontal="right" wrapText="1"/>
    </xf>
    <xf numFmtId="3" fontId="11" fillId="0" borderId="6" xfId="0" applyNumberFormat="1" applyFont="1" applyBorder="1" applyAlignment="1">
      <alignment horizontal="right"/>
    </xf>
    <xf numFmtId="166" fontId="28" fillId="0" borderId="7" xfId="0" applyNumberFormat="1" applyFont="1" applyBorder="1" applyAlignment="1">
      <alignment horizontal="right"/>
    </xf>
    <xf numFmtId="3" fontId="27" fillId="0" borderId="0" xfId="0" applyNumberFormat="1" applyFont="1"/>
    <xf numFmtId="166" fontId="28" fillId="0" borderId="0" xfId="0" applyNumberFormat="1" applyFont="1"/>
    <xf numFmtId="3" fontId="27" fillId="0" borderId="7" xfId="0" applyNumberFormat="1" applyFont="1" applyBorder="1"/>
    <xf numFmtId="166" fontId="28" fillId="0" borderId="7" xfId="0" applyNumberFormat="1" applyFont="1" applyBorder="1"/>
    <xf numFmtId="0" fontId="11" fillId="0" borderId="0" xfId="0" applyFont="1" applyAlignment="1">
      <alignment horizontal="right" vertical="center"/>
    </xf>
    <xf numFmtId="164" fontId="11" fillId="0" borderId="0" xfId="0" applyNumberFormat="1" applyFont="1" applyAlignment="1">
      <alignment horizontal="right" vertical="center"/>
    </xf>
    <xf numFmtId="0" fontId="11" fillId="0" borderId="6" xfId="0" applyFont="1" applyBorder="1" applyAlignment="1">
      <alignment horizontal="right" vertical="center"/>
    </xf>
    <xf numFmtId="3" fontId="11" fillId="0" borderId="6" xfId="0" applyNumberFormat="1" applyFont="1" applyBorder="1" applyAlignment="1">
      <alignment horizontal="right" vertical="center"/>
    </xf>
    <xf numFmtId="164" fontId="11" fillId="0" borderId="6" xfId="0" applyNumberFormat="1" applyFont="1" applyBorder="1" applyAlignment="1">
      <alignment horizontal="right" vertical="center"/>
    </xf>
    <xf numFmtId="166" fontId="10" fillId="0" borderId="21" xfId="0" applyNumberFormat="1" applyFont="1" applyBorder="1" applyAlignment="1">
      <alignment horizontal="right" vertical="center"/>
    </xf>
    <xf numFmtId="37" fontId="0" fillId="0" borderId="0" xfId="4" applyNumberFormat="1" applyFont="1"/>
    <xf numFmtId="37" fontId="0" fillId="0" borderId="4" xfId="4" applyNumberFormat="1" applyFont="1" applyBorder="1"/>
    <xf numFmtId="0" fontId="9" fillId="0" borderId="8" xfId="0" applyFont="1" applyBorder="1" applyAlignment="1">
      <alignment horizontal="right"/>
    </xf>
    <xf numFmtId="10" fontId="9" fillId="0" borderId="4" xfId="0" applyNumberFormat="1" applyFont="1" applyBorder="1"/>
    <xf numFmtId="10" fontId="9" fillId="0" borderId="2" xfId="0" applyNumberFormat="1" applyFont="1" applyBorder="1"/>
    <xf numFmtId="10" fontId="9" fillId="0" borderId="3" xfId="0" applyNumberFormat="1" applyFont="1" applyBorder="1"/>
    <xf numFmtId="6" fontId="25" fillId="0" borderId="4" xfId="0" applyNumberFormat="1" applyFont="1" applyBorder="1"/>
    <xf numFmtId="5" fontId="5" fillId="0" borderId="3" xfId="0" applyNumberFormat="1" applyFont="1" applyBorder="1"/>
    <xf numFmtId="5" fontId="31" fillId="0" borderId="3" xfId="0" applyNumberFormat="1" applyFont="1" applyBorder="1" applyAlignment="1">
      <alignment wrapText="1"/>
    </xf>
    <xf numFmtId="166" fontId="15" fillId="0" borderId="12" xfId="0" applyNumberFormat="1" applyFont="1" applyBorder="1" applyAlignment="1">
      <alignment horizontal="right"/>
    </xf>
    <xf numFmtId="10" fontId="29" fillId="0" borderId="12" xfId="0" applyNumberFormat="1" applyFont="1" applyBorder="1" applyAlignment="1">
      <alignment horizontal="right"/>
    </xf>
    <xf numFmtId="5" fontId="5" fillId="0" borderId="19" xfId="0" applyNumberFormat="1" applyFont="1" applyBorder="1"/>
    <xf numFmtId="4" fontId="9" fillId="0" borderId="0" xfId="0" applyNumberFormat="1" applyFont="1" applyAlignment="1">
      <alignment horizontal="right"/>
    </xf>
    <xf numFmtId="10" fontId="29" fillId="0" borderId="0" xfId="0" applyNumberFormat="1" applyFont="1" applyAlignment="1">
      <alignment horizontal="right"/>
    </xf>
    <xf numFmtId="0" fontId="9" fillId="0" borderId="6" xfId="0" applyFont="1" applyBorder="1"/>
    <xf numFmtId="166" fontId="10" fillId="0" borderId="16" xfId="0" applyNumberFormat="1" applyFont="1" applyBorder="1" applyAlignment="1">
      <alignment horizontal="right" vertical="center"/>
    </xf>
    <xf numFmtId="166" fontId="10" fillId="0" borderId="12" xfId="0" applyNumberFormat="1" applyFont="1" applyBorder="1" applyAlignment="1">
      <alignment horizontal="right" vertical="center"/>
    </xf>
    <xf numFmtId="166" fontId="28" fillId="0" borderId="16" xfId="0" applyNumberFormat="1" applyFont="1" applyBorder="1" applyAlignment="1">
      <alignment horizontal="right"/>
    </xf>
    <xf numFmtId="166" fontId="28" fillId="0" borderId="17" xfId="0" applyNumberFormat="1" applyFont="1" applyBorder="1" applyAlignment="1">
      <alignment horizontal="right"/>
    </xf>
    <xf numFmtId="166" fontId="28" fillId="0" borderId="16" xfId="0" applyNumberFormat="1" applyFont="1" applyBorder="1"/>
    <xf numFmtId="166" fontId="28" fillId="0" borderId="17" xfId="0" applyNumberFormat="1" applyFont="1" applyBorder="1"/>
    <xf numFmtId="166" fontId="10" fillId="0" borderId="17" xfId="0" applyNumberFormat="1" applyFont="1" applyBorder="1" applyAlignment="1">
      <alignment horizontal="right" vertical="center"/>
    </xf>
    <xf numFmtId="38" fontId="32" fillId="0" borderId="0" xfId="0" applyNumberFormat="1" applyFont="1" applyAlignment="1">
      <alignment horizontal="right" vertical="center"/>
    </xf>
    <xf numFmtId="3" fontId="32" fillId="0" borderId="0" xfId="0" applyNumberFormat="1" applyFont="1" applyAlignment="1">
      <alignment horizontal="right" vertical="center"/>
    </xf>
    <xf numFmtId="0" fontId="32" fillId="0" borderId="0" xfId="0" applyFont="1" applyAlignment="1">
      <alignment horizontal="right" vertical="center"/>
    </xf>
    <xf numFmtId="0" fontId="32" fillId="0" borderId="0" xfId="0" applyFont="1" applyAlignment="1">
      <alignment horizontal="left" vertical="center"/>
    </xf>
    <xf numFmtId="164" fontId="32" fillId="0" borderId="0" xfId="0" applyNumberFormat="1" applyFont="1" applyAlignment="1">
      <alignment horizontal="right" vertical="center"/>
    </xf>
    <xf numFmtId="37" fontId="7" fillId="0" borderId="12" xfId="0" applyNumberFormat="1" applyFont="1" applyBorder="1"/>
    <xf numFmtId="37" fontId="7" fillId="0" borderId="18" xfId="0" applyNumberFormat="1" applyFont="1" applyBorder="1"/>
    <xf numFmtId="37" fontId="7" fillId="0" borderId="9" xfId="0" applyNumberFormat="1" applyFont="1" applyBorder="1"/>
    <xf numFmtId="37" fontId="7" fillId="0" borderId="13" xfId="0" applyNumberFormat="1" applyFont="1" applyBorder="1"/>
    <xf numFmtId="37" fontId="7" fillId="0" borderId="14" xfId="0" applyNumberFormat="1" applyFont="1" applyBorder="1"/>
    <xf numFmtId="37" fontId="18" fillId="0" borderId="6" xfId="0" applyNumberFormat="1" applyFont="1" applyBorder="1" applyAlignment="1">
      <alignment horizontal="right" vertical="center"/>
    </xf>
    <xf numFmtId="37" fontId="18" fillId="0" borderId="12" xfId="0" applyNumberFormat="1" applyFont="1" applyBorder="1" applyAlignment="1">
      <alignment horizontal="right" vertical="center"/>
    </xf>
    <xf numFmtId="37" fontId="0" fillId="0" borderId="12" xfId="4" applyNumberFormat="1" applyFont="1" applyBorder="1"/>
    <xf numFmtId="37" fontId="0" fillId="0" borderId="19" xfId="4" applyNumberFormat="1" applyFont="1" applyBorder="1"/>
    <xf numFmtId="166" fontId="10" fillId="0" borderId="18" xfId="0" applyNumberFormat="1" applyFont="1" applyBorder="1" applyAlignment="1">
      <alignment horizontal="right" vertical="center"/>
    </xf>
    <xf numFmtId="166" fontId="10" fillId="0" borderId="14" xfId="0" applyNumberFormat="1" applyFont="1" applyBorder="1" applyAlignment="1">
      <alignment horizontal="right" vertical="center"/>
    </xf>
    <xf numFmtId="166" fontId="10" fillId="0" borderId="35" xfId="0" applyNumberFormat="1" applyFont="1" applyBorder="1" applyAlignment="1">
      <alignment horizontal="right" vertical="center"/>
    </xf>
    <xf numFmtId="3" fontId="32" fillId="0" borderId="7" xfId="0" applyNumberFormat="1" applyFont="1" applyBorder="1" applyAlignment="1">
      <alignment horizontal="right" vertical="center"/>
    </xf>
    <xf numFmtId="37" fontId="27" fillId="0" borderId="6" xfId="0" applyNumberFormat="1" applyFont="1" applyBorder="1"/>
    <xf numFmtId="37" fontId="27" fillId="0" borderId="0" xfId="0" applyNumberFormat="1" applyFont="1"/>
    <xf numFmtId="37" fontId="27" fillId="0" borderId="7" xfId="0" applyNumberFormat="1" applyFont="1" applyBorder="1"/>
    <xf numFmtId="166" fontId="7" fillId="0" borderId="0" xfId="4" applyNumberFormat="1" applyFont="1"/>
    <xf numFmtId="166" fontId="7" fillId="0" borderId="38" xfId="4" applyNumberFormat="1" applyFont="1" applyBorder="1"/>
    <xf numFmtId="171" fontId="7" fillId="0" borderId="38" xfId="4" applyNumberFormat="1" applyFont="1" applyBorder="1"/>
    <xf numFmtId="166" fontId="0" fillId="0" borderId="0" xfId="0" applyNumberFormat="1"/>
    <xf numFmtId="171" fontId="7" fillId="0" borderId="38" xfId="0" applyNumberFormat="1" applyFont="1" applyBorder="1"/>
    <xf numFmtId="37" fontId="32" fillId="0" borderId="7" xfId="0" applyNumberFormat="1" applyFont="1" applyBorder="1" applyAlignment="1">
      <alignment horizontal="right" vertical="center"/>
    </xf>
    <xf numFmtId="0" fontId="22" fillId="0" borderId="7" xfId="0" applyFont="1" applyBorder="1"/>
    <xf numFmtId="171" fontId="7" fillId="0" borderId="40" xfId="0" applyNumberFormat="1" applyFont="1" applyBorder="1"/>
    <xf numFmtId="164" fontId="8" fillId="0" borderId="0" xfId="2" applyNumberFormat="1" applyFont="1" applyBorder="1" applyAlignment="1"/>
    <xf numFmtId="164" fontId="8" fillId="0" borderId="7" xfId="2" applyNumberFormat="1" applyFont="1" applyBorder="1" applyAlignment="1"/>
    <xf numFmtId="164" fontId="0" fillId="0" borderId="0" xfId="2" applyNumberFormat="1" applyFont="1" applyBorder="1" applyAlignment="1"/>
    <xf numFmtId="164" fontId="0" fillId="0" borderId="7" xfId="2" applyNumberFormat="1" applyFont="1" applyBorder="1" applyAlignment="1"/>
    <xf numFmtId="164" fontId="18" fillId="0" borderId="4" xfId="0" applyNumberFormat="1" applyFont="1" applyBorder="1"/>
    <xf numFmtId="164" fontId="0" fillId="0" borderId="4" xfId="2" applyNumberFormat="1" applyFont="1" applyBorder="1" applyAlignment="1"/>
    <xf numFmtId="164" fontId="0" fillId="0" borderId="5" xfId="2" applyNumberFormat="1" applyFont="1" applyBorder="1" applyAlignment="1"/>
    <xf numFmtId="0" fontId="3" fillId="0" borderId="0" xfId="1"/>
    <xf numFmtId="0" fontId="1" fillId="0" borderId="7" xfId="0" applyFont="1" applyBorder="1"/>
    <xf numFmtId="0" fontId="5" fillId="0" borderId="11" xfId="0" applyFont="1" applyBorder="1"/>
    <xf numFmtId="0" fontId="5" fillId="0" borderId="4" xfId="0" applyFont="1" applyBorder="1"/>
    <xf numFmtId="0" fontId="5" fillId="0" borderId="5" xfId="0" applyFont="1" applyBorder="1"/>
    <xf numFmtId="0" fontId="9" fillId="0" borderId="20" xfId="0" applyFont="1" applyBorder="1"/>
    <xf numFmtId="0" fontId="5" fillId="0" borderId="9" xfId="0" applyFont="1" applyBorder="1"/>
    <xf numFmtId="0" fontId="9" fillId="0" borderId="11" xfId="0" applyFont="1" applyBorder="1"/>
    <xf numFmtId="0" fontId="9" fillId="0" borderId="9" xfId="0" applyFont="1" applyBorder="1"/>
    <xf numFmtId="0" fontId="9" fillId="0" borderId="36" xfId="0" applyFont="1" applyBorder="1" applyAlignment="1">
      <alignment horizontal="center"/>
    </xf>
    <xf numFmtId="0" fontId="5" fillId="3" borderId="1" xfId="0" applyFont="1" applyFill="1" applyBorder="1" applyAlignment="1">
      <alignment horizontal="center"/>
    </xf>
    <xf numFmtId="0" fontId="5" fillId="0" borderId="6" xfId="0" applyFont="1" applyBorder="1"/>
    <xf numFmtId="0" fontId="5" fillId="4" borderId="1" xfId="0" applyFont="1" applyFill="1" applyBorder="1" applyAlignment="1">
      <alignment horizontal="center"/>
    </xf>
    <xf numFmtId="37" fontId="9" fillId="0" borderId="0" xfId="0" applyNumberFormat="1" applyFont="1" applyAlignment="1">
      <alignment horizontal="right"/>
    </xf>
    <xf numFmtId="166" fontId="15" fillId="0" borderId="0" xfId="0" applyNumberFormat="1" applyFont="1" applyAlignment="1">
      <alignment horizontal="right"/>
    </xf>
    <xf numFmtId="10" fontId="9" fillId="0" borderId="0" xfId="0" applyNumberFormat="1" applyFont="1" applyAlignment="1">
      <alignment horizontal="right"/>
    </xf>
    <xf numFmtId="0" fontId="9" fillId="0" borderId="4" xfId="0" applyFont="1" applyBorder="1"/>
    <xf numFmtId="5" fontId="5" fillId="0" borderId="4" xfId="0" applyNumberFormat="1" applyFont="1" applyBorder="1"/>
    <xf numFmtId="0" fontId="15" fillId="0" borderId="0" xfId="0" applyFont="1"/>
    <xf numFmtId="7" fontId="15" fillId="0" borderId="22" xfId="0" applyNumberFormat="1" applyFont="1" applyBorder="1"/>
    <xf numFmtId="10" fontId="7" fillId="0" borderId="7" xfId="0" applyNumberFormat="1" applyFont="1" applyBorder="1" applyAlignment="1">
      <alignment wrapText="1"/>
    </xf>
    <xf numFmtId="5" fontId="15" fillId="0" borderId="7" xfId="0" applyNumberFormat="1" applyFont="1" applyBorder="1"/>
    <xf numFmtId="37" fontId="7" fillId="0" borderId="12" xfId="0" applyNumberFormat="1" applyFont="1" applyBorder="1" applyAlignment="1">
      <alignment wrapText="1"/>
    </xf>
    <xf numFmtId="37" fontId="9" fillId="0" borderId="25" xfId="0" applyNumberFormat="1" applyFont="1" applyBorder="1" applyAlignment="1">
      <alignment horizontal="right" vertical="center"/>
    </xf>
    <xf numFmtId="6" fontId="7" fillId="0" borderId="0" xfId="0" applyNumberFormat="1" applyFont="1" applyAlignment="1">
      <alignment horizontal="right"/>
    </xf>
    <xf numFmtId="6" fontId="7" fillId="0" borderId="12" xfId="0" applyNumberFormat="1" applyFont="1" applyBorder="1" applyAlignment="1">
      <alignment horizontal="right"/>
    </xf>
    <xf numFmtId="165" fontId="39" fillId="0" borderId="7" xfId="2" applyNumberFormat="1" applyFont="1" applyBorder="1"/>
    <xf numFmtId="164" fontId="7" fillId="0" borderId="0" xfId="2" applyNumberFormat="1" applyFont="1" applyBorder="1" applyAlignment="1"/>
    <xf numFmtId="164" fontId="7" fillId="0" borderId="7" xfId="2" applyNumberFormat="1" applyFont="1" applyBorder="1" applyAlignment="1"/>
    <xf numFmtId="37" fontId="9" fillId="0" borderId="7" xfId="0" applyNumberFormat="1" applyFont="1" applyBorder="1" applyAlignment="1">
      <alignment horizontal="right"/>
    </xf>
    <xf numFmtId="6" fontId="7" fillId="0" borderId="7" xfId="0" applyNumberFormat="1" applyFont="1" applyBorder="1"/>
    <xf numFmtId="10" fontId="18" fillId="0" borderId="0" xfId="0" applyNumberFormat="1" applyFont="1" applyAlignment="1">
      <alignment horizontal="right" vertical="center"/>
    </xf>
    <xf numFmtId="10" fontId="18" fillId="0" borderId="4" xfId="0" applyNumberFormat="1" applyFont="1" applyBorder="1" applyAlignment="1">
      <alignment horizontal="right" vertical="center"/>
    </xf>
    <xf numFmtId="0" fontId="40" fillId="2" borderId="23" xfId="0" applyFont="1" applyFill="1" applyBorder="1"/>
    <xf numFmtId="10" fontId="18" fillId="0" borderId="7" xfId="0" applyNumberFormat="1" applyFont="1" applyBorder="1" applyAlignment="1">
      <alignment horizontal="right" vertical="center"/>
    </xf>
    <xf numFmtId="10" fontId="18" fillId="0" borderId="5" xfId="0" applyNumberFormat="1" applyFont="1" applyBorder="1" applyAlignment="1">
      <alignment horizontal="right" vertical="center"/>
    </xf>
    <xf numFmtId="37" fontId="15" fillId="0" borderId="0" xfId="0" applyNumberFormat="1" applyFont="1"/>
    <xf numFmtId="0" fontId="0" fillId="5" borderId="10" xfId="0" applyFill="1" applyBorder="1"/>
    <xf numFmtId="37" fontId="0" fillId="0" borderId="26" xfId="0" applyNumberFormat="1" applyBorder="1"/>
    <xf numFmtId="37" fontId="0" fillId="0" borderId="25" xfId="0" applyNumberFormat="1" applyBorder="1"/>
    <xf numFmtId="37" fontId="15" fillId="0" borderId="7" xfId="0" applyNumberFormat="1" applyFont="1" applyBorder="1"/>
    <xf numFmtId="37" fontId="15" fillId="0" borderId="4" xfId="0" applyNumberFormat="1" applyFont="1" applyBorder="1"/>
    <xf numFmtId="37" fontId="15" fillId="0" borderId="5" xfId="0" applyNumberFormat="1" applyFont="1" applyBorder="1"/>
    <xf numFmtId="37" fontId="18" fillId="0" borderId="3" xfId="0" applyNumberFormat="1" applyFont="1" applyBorder="1" applyAlignment="1">
      <alignment horizontal="right" vertical="center"/>
    </xf>
    <xf numFmtId="10" fontId="18" fillId="0" borderId="3" xfId="0" applyNumberFormat="1" applyFont="1" applyBorder="1" applyAlignment="1">
      <alignment horizontal="right" vertical="center"/>
    </xf>
    <xf numFmtId="0" fontId="15" fillId="0" borderId="39" xfId="0" applyFont="1" applyBorder="1"/>
    <xf numFmtId="0" fontId="0" fillId="0" borderId="38" xfId="0" applyBorder="1"/>
    <xf numFmtId="0" fontId="0" fillId="0" borderId="40" xfId="0" applyBorder="1"/>
    <xf numFmtId="37" fontId="15" fillId="0" borderId="2" xfId="0" applyNumberFormat="1" applyFont="1" applyBorder="1"/>
    <xf numFmtId="5" fontId="7" fillId="0" borderId="3" xfId="0" applyNumberFormat="1" applyFont="1" applyBorder="1"/>
    <xf numFmtId="5" fontId="15" fillId="0" borderId="5" xfId="0" applyNumberFormat="1" applyFont="1" applyBorder="1"/>
    <xf numFmtId="7" fontId="7" fillId="0" borderId="7" xfId="0" applyNumberFormat="1" applyFont="1" applyBorder="1"/>
    <xf numFmtId="6" fontId="5" fillId="0" borderId="4" xfId="0" applyNumberFormat="1" applyFont="1" applyBorder="1" applyAlignment="1">
      <alignment horizontal="right"/>
    </xf>
    <xf numFmtId="6" fontId="5" fillId="0" borderId="19" xfId="0" applyNumberFormat="1" applyFont="1" applyBorder="1" applyAlignment="1">
      <alignment horizontal="right"/>
    </xf>
    <xf numFmtId="5" fontId="5" fillId="0" borderId="0" xfId="0" applyNumberFormat="1" applyFont="1" applyAlignment="1">
      <alignment horizontal="right"/>
    </xf>
    <xf numFmtId="5" fontId="5" fillId="0" borderId="12" xfId="0" applyNumberFormat="1" applyFont="1" applyBorder="1" applyAlignment="1">
      <alignment horizontal="right"/>
    </xf>
    <xf numFmtId="0" fontId="15" fillId="0" borderId="0" xfId="0" applyFont="1" applyAlignment="1">
      <alignment horizontal="right"/>
    </xf>
    <xf numFmtId="8" fontId="15" fillId="0" borderId="0" xfId="0" applyNumberFormat="1" applyFont="1" applyAlignment="1">
      <alignment horizontal="right"/>
    </xf>
    <xf numFmtId="7" fontId="15" fillId="0" borderId="0" xfId="0" applyNumberFormat="1" applyFont="1"/>
    <xf numFmtId="8" fontId="15" fillId="0" borderId="0" xfId="0" applyNumberFormat="1" applyFont="1"/>
    <xf numFmtId="37" fontId="7" fillId="0" borderId="26" xfId="0" applyNumberFormat="1" applyFont="1" applyBorder="1" applyAlignment="1">
      <alignment wrapText="1"/>
    </xf>
    <xf numFmtId="37" fontId="7" fillId="0" borderId="25" xfId="0" applyNumberFormat="1" applyFont="1" applyBorder="1" applyAlignment="1">
      <alignment wrapText="1"/>
    </xf>
    <xf numFmtId="5" fontId="0" fillId="0" borderId="0" xfId="0" applyNumberFormat="1"/>
    <xf numFmtId="5" fontId="0" fillId="0" borderId="7" xfId="0" applyNumberFormat="1" applyBorder="1"/>
    <xf numFmtId="39" fontId="0" fillId="0" borderId="0" xfId="0" applyNumberFormat="1" applyAlignment="1">
      <alignment horizontal="right"/>
    </xf>
    <xf numFmtId="39" fontId="0" fillId="0" borderId="0" xfId="0" applyNumberFormat="1"/>
    <xf numFmtId="164" fontId="9" fillId="0" borderId="18" xfId="0" applyNumberFormat="1" applyFont="1" applyBorder="1" applyAlignment="1">
      <alignment horizontal="right"/>
    </xf>
    <xf numFmtId="164" fontId="9" fillId="0" borderId="14" xfId="0" applyNumberFormat="1" applyFont="1" applyBorder="1" applyAlignment="1">
      <alignment horizontal="right"/>
    </xf>
    <xf numFmtId="0" fontId="9" fillId="0" borderId="18" xfId="0" applyFont="1" applyBorder="1" applyAlignment="1">
      <alignment horizontal="right"/>
    </xf>
    <xf numFmtId="1" fontId="9" fillId="0" borderId="18" xfId="0" applyNumberFormat="1" applyFont="1" applyBorder="1" applyAlignment="1">
      <alignment horizontal="right"/>
    </xf>
    <xf numFmtId="1" fontId="9" fillId="0" borderId="14" xfId="0" applyNumberFormat="1" applyFont="1" applyBorder="1" applyAlignment="1">
      <alignment horizontal="right"/>
    </xf>
    <xf numFmtId="0" fontId="0" fillId="0" borderId="9" xfId="0" applyBorder="1"/>
    <xf numFmtId="0" fontId="9" fillId="0" borderId="0" xfId="0" applyFont="1" applyAlignment="1">
      <alignment wrapText="1"/>
    </xf>
    <xf numFmtId="0" fontId="6" fillId="0" borderId="0" xfId="0" applyFont="1"/>
    <xf numFmtId="5" fontId="5" fillId="0" borderId="0" xfId="0" applyNumberFormat="1" applyFont="1"/>
    <xf numFmtId="37" fontId="9" fillId="0" borderId="0" xfId="0" applyNumberFormat="1" applyFont="1"/>
    <xf numFmtId="37" fontId="9" fillId="0" borderId="0" xfId="0" applyNumberFormat="1" applyFont="1" applyAlignment="1">
      <alignment wrapText="1"/>
    </xf>
    <xf numFmtId="164" fontId="9" fillId="0" borderId="0" xfId="0" applyNumberFormat="1" applyFont="1"/>
    <xf numFmtId="5" fontId="31" fillId="0" borderId="0" xfId="0" applyNumberFormat="1" applyFont="1" applyAlignment="1">
      <alignment wrapText="1"/>
    </xf>
    <xf numFmtId="164" fontId="18" fillId="0" borderId="0" xfId="0" applyNumberFormat="1" applyFont="1"/>
    <xf numFmtId="5" fontId="19" fillId="0" borderId="0" xfId="0" applyNumberFormat="1" applyFont="1"/>
    <xf numFmtId="5" fontId="19" fillId="0" borderId="7" xfId="0" applyNumberFormat="1" applyFont="1" applyBorder="1"/>
    <xf numFmtId="165" fontId="39" fillId="0" borderId="0" xfId="2" applyNumberFormat="1" applyFont="1" applyBorder="1"/>
    <xf numFmtId="6" fontId="25" fillId="0" borderId="5" xfId="0" applyNumberFormat="1" applyFont="1" applyBorder="1"/>
    <xf numFmtId="0" fontId="15" fillId="0" borderId="9" xfId="4" applyFont="1" applyBorder="1"/>
    <xf numFmtId="0" fontId="0" fillId="0" borderId="0" xfId="4" applyFont="1"/>
    <xf numFmtId="0" fontId="0" fillId="0" borderId="12" xfId="4" applyFont="1" applyBorder="1"/>
    <xf numFmtId="0" fontId="0" fillId="0" borderId="9" xfId="4" applyFont="1" applyBorder="1"/>
    <xf numFmtId="37" fontId="0" fillId="0" borderId="2" xfId="4" applyNumberFormat="1" applyFont="1" applyBorder="1"/>
    <xf numFmtId="37" fontId="0" fillId="0" borderId="3" xfId="4" applyNumberFormat="1" applyFont="1" applyBorder="1"/>
    <xf numFmtId="0" fontId="42" fillId="0" borderId="9" xfId="4" applyFont="1" applyBorder="1"/>
    <xf numFmtId="5" fontId="0" fillId="0" borderId="0" xfId="4" applyNumberFormat="1" applyFont="1"/>
    <xf numFmtId="5" fontId="0" fillId="0" borderId="7" xfId="4" applyNumberFormat="1" applyFont="1" applyBorder="1"/>
    <xf numFmtId="3" fontId="0" fillId="0" borderId="0" xfId="4" applyNumberFormat="1" applyFont="1"/>
    <xf numFmtId="37" fontId="0" fillId="0" borderId="7" xfId="4" applyNumberFormat="1" applyFont="1" applyBorder="1"/>
    <xf numFmtId="37" fontId="0" fillId="0" borderId="5" xfId="4" applyNumberFormat="1" applyFont="1" applyBorder="1"/>
    <xf numFmtId="0" fontId="15" fillId="0" borderId="13" xfId="4" applyFont="1" applyBorder="1"/>
    <xf numFmtId="0" fontId="0" fillId="0" borderId="18" xfId="4" applyFont="1" applyBorder="1"/>
    <xf numFmtId="10" fontId="0" fillId="0" borderId="2" xfId="0" applyNumberFormat="1" applyBorder="1"/>
    <xf numFmtId="10" fontId="0" fillId="0" borderId="3" xfId="0" applyNumberFormat="1" applyBorder="1"/>
    <xf numFmtId="10" fontId="0" fillId="0" borderId="1" xfId="0" applyNumberFormat="1" applyBorder="1"/>
    <xf numFmtId="10" fontId="0" fillId="0" borderId="7" xfId="0" applyNumberFormat="1" applyBorder="1"/>
    <xf numFmtId="10" fontId="0" fillId="0" borderId="9" xfId="0" applyNumberFormat="1" applyBorder="1"/>
    <xf numFmtId="10" fontId="0" fillId="0" borderId="12" xfId="0" applyNumberFormat="1" applyBorder="1"/>
    <xf numFmtId="10" fontId="0" fillId="0" borderId="6" xfId="0" applyNumberFormat="1" applyBorder="1"/>
    <xf numFmtId="10" fontId="0" fillId="0" borderId="4" xfId="0" applyNumberFormat="1" applyBorder="1"/>
    <xf numFmtId="10" fontId="0" fillId="0" borderId="5" xfId="0" applyNumberFormat="1" applyBorder="1"/>
    <xf numFmtId="0" fontId="0" fillId="0" borderId="12" xfId="0" applyBorder="1"/>
    <xf numFmtId="10" fontId="0" fillId="0" borderId="32" xfId="0" applyNumberFormat="1" applyBorder="1"/>
    <xf numFmtId="10" fontId="0" fillId="0" borderId="19" xfId="0" applyNumberFormat="1" applyBorder="1"/>
    <xf numFmtId="10" fontId="0" fillId="0" borderId="11" xfId="0" applyNumberFormat="1" applyBorder="1"/>
    <xf numFmtId="0" fontId="43" fillId="0" borderId="0" xfId="0" applyFont="1"/>
    <xf numFmtId="0" fontId="0" fillId="0" borderId="15" xfId="0" applyBorder="1"/>
    <xf numFmtId="10" fontId="0" fillId="0" borderId="16" xfId="0" applyNumberFormat="1" applyBorder="1"/>
    <xf numFmtId="10" fontId="0" fillId="0" borderId="17" xfId="0" applyNumberFormat="1" applyBorder="1"/>
    <xf numFmtId="10" fontId="0" fillId="0" borderId="15" xfId="0" applyNumberFormat="1" applyBorder="1"/>
    <xf numFmtId="167" fontId="0" fillId="0" borderId="16" xfId="0" applyNumberFormat="1" applyBorder="1"/>
    <xf numFmtId="167" fontId="0" fillId="0" borderId="0" xfId="0" applyNumberFormat="1"/>
    <xf numFmtId="167" fontId="0" fillId="0" borderId="12" xfId="0" applyNumberFormat="1" applyBorder="1"/>
    <xf numFmtId="0" fontId="0" fillId="0" borderId="13" xfId="0" applyBorder="1"/>
    <xf numFmtId="10" fontId="0" fillId="0" borderId="18" xfId="0" applyNumberFormat="1" applyBorder="1"/>
    <xf numFmtId="10" fontId="0" fillId="0" borderId="14" xfId="0" applyNumberFormat="1" applyBorder="1"/>
    <xf numFmtId="10" fontId="0" fillId="0" borderId="13" xfId="0" applyNumberFormat="1" applyBorder="1"/>
    <xf numFmtId="0" fontId="0" fillId="0" borderId="27" xfId="0" applyBorder="1"/>
    <xf numFmtId="5" fontId="0" fillId="0" borderId="9" xfId="0" applyNumberFormat="1" applyBorder="1"/>
    <xf numFmtId="5" fontId="0" fillId="0" borderId="12" xfId="0" applyNumberFormat="1" applyBorder="1"/>
    <xf numFmtId="0" fontId="0" fillId="0" borderId="20" xfId="0" applyBorder="1"/>
    <xf numFmtId="10" fontId="26" fillId="0" borderId="0" xfId="0" applyNumberFormat="1" applyFont="1"/>
    <xf numFmtId="10" fontId="26" fillId="0" borderId="12" xfId="0" applyNumberFormat="1" applyFont="1" applyBorder="1"/>
    <xf numFmtId="10" fontId="0" fillId="0" borderId="36" xfId="0" applyNumberFormat="1" applyBorder="1"/>
    <xf numFmtId="10" fontId="0" fillId="0" borderId="8" xfId="0" applyNumberFormat="1" applyBorder="1"/>
    <xf numFmtId="9" fontId="0" fillId="0" borderId="14" xfId="0" applyNumberFormat="1" applyBorder="1"/>
    <xf numFmtId="0" fontId="44" fillId="0" borderId="0" xfId="0" applyFont="1"/>
    <xf numFmtId="0" fontId="45" fillId="0" borderId="0" xfId="0" applyFont="1"/>
    <xf numFmtId="0" fontId="45" fillId="0" borderId="39" xfId="0" applyFont="1" applyBorder="1"/>
    <xf numFmtId="37" fontId="0" fillId="0" borderId="39" xfId="0" applyNumberFormat="1" applyBorder="1"/>
    <xf numFmtId="37" fontId="46" fillId="0" borderId="0" xfId="0" applyNumberFormat="1" applyFont="1"/>
    <xf numFmtId="37" fontId="0" fillId="0" borderId="38" xfId="0" applyNumberFormat="1" applyBorder="1"/>
    <xf numFmtId="0" fontId="15" fillId="0" borderId="6" xfId="0" applyFont="1" applyBorder="1" applyAlignment="1">
      <alignment horizontal="right"/>
    </xf>
    <xf numFmtId="5" fontId="15" fillId="0" borderId="38" xfId="0" applyNumberFormat="1" applyFont="1" applyBorder="1"/>
    <xf numFmtId="166" fontId="15" fillId="0" borderId="0" xfId="0" applyNumberFormat="1" applyFont="1"/>
    <xf numFmtId="0" fontId="15" fillId="0" borderId="11" xfId="0" applyFont="1" applyBorder="1" applyAlignment="1">
      <alignment horizontal="right"/>
    </xf>
    <xf numFmtId="5" fontId="15" fillId="0" borderId="22" xfId="0" applyNumberFormat="1" applyFont="1" applyBorder="1"/>
    <xf numFmtId="5" fontId="15" fillId="0" borderId="40" xfId="0" applyNumberFormat="1" applyFont="1" applyBorder="1"/>
    <xf numFmtId="171" fontId="15" fillId="0" borderId="0" xfId="0" applyNumberFormat="1" applyFont="1"/>
    <xf numFmtId="0" fontId="44" fillId="0" borderId="6" xfId="0" applyFont="1" applyBorder="1"/>
    <xf numFmtId="0" fontId="0" fillId="0" borderId="0" xfId="0" applyAlignment="1">
      <alignment horizontal="right"/>
    </xf>
    <xf numFmtId="0" fontId="15" fillId="0" borderId="7" xfId="0" applyFont="1" applyBorder="1" applyAlignment="1">
      <alignment horizontal="right"/>
    </xf>
    <xf numFmtId="37" fontId="18" fillId="0" borderId="0" xfId="0" applyNumberFormat="1" applyFont="1"/>
    <xf numFmtId="0" fontId="45" fillId="0" borderId="6" xfId="0" applyFont="1" applyBorder="1"/>
    <xf numFmtId="166" fontId="0" fillId="0" borderId="1" xfId="0" applyNumberFormat="1" applyBorder="1"/>
    <xf numFmtId="166" fontId="18" fillId="0" borderId="0" xfId="0" applyNumberFormat="1" applyFont="1"/>
    <xf numFmtId="166" fontId="0" fillId="0" borderId="6" xfId="0" applyNumberFormat="1" applyBorder="1"/>
    <xf numFmtId="166" fontId="18" fillId="0" borderId="38" xfId="0" applyNumberFormat="1" applyFont="1" applyBorder="1" applyAlignment="1">
      <alignment horizontal="right"/>
    </xf>
    <xf numFmtId="166" fontId="18" fillId="0" borderId="38" xfId="7" applyNumberFormat="1" applyFont="1" applyBorder="1" applyAlignment="1">
      <alignment horizontal="right"/>
    </xf>
    <xf numFmtId="166" fontId="18" fillId="0" borderId="38" xfId="0" applyNumberFormat="1" applyFont="1" applyBorder="1"/>
    <xf numFmtId="171" fontId="18" fillId="0" borderId="0" xfId="0" applyNumberFormat="1" applyFont="1" applyAlignment="1">
      <alignment horizontal="right"/>
    </xf>
    <xf numFmtId="171" fontId="18" fillId="0" borderId="0" xfId="0" applyNumberFormat="1" applyFont="1"/>
    <xf numFmtId="166" fontId="18" fillId="0" borderId="4" xfId="0" applyNumberFormat="1" applyFont="1" applyBorder="1"/>
    <xf numFmtId="166" fontId="0" fillId="0" borderId="11" xfId="0" applyNumberFormat="1" applyBorder="1"/>
    <xf numFmtId="166" fontId="18" fillId="0" borderId="40" xfId="0" applyNumberFormat="1" applyFont="1" applyBorder="1"/>
    <xf numFmtId="0" fontId="44" fillId="0" borderId="10" xfId="0" applyFont="1" applyBorder="1"/>
    <xf numFmtId="0" fontId="45" fillId="0" borderId="10" xfId="0" applyFont="1" applyBorder="1"/>
    <xf numFmtId="39" fontId="18" fillId="0" borderId="0" xfId="0" applyNumberFormat="1" applyFont="1"/>
    <xf numFmtId="7" fontId="15" fillId="0" borderId="2" xfId="0" applyNumberFormat="1" applyFont="1" applyBorder="1"/>
    <xf numFmtId="39" fontId="18" fillId="0" borderId="0" xfId="0" applyNumberFormat="1" applyFont="1" applyAlignment="1">
      <alignment horizontal="right"/>
    </xf>
    <xf numFmtId="37" fontId="9" fillId="0" borderId="38" xfId="0" applyNumberFormat="1" applyFont="1" applyBorder="1"/>
    <xf numFmtId="171" fontId="18" fillId="0" borderId="4" xfId="0" applyNumberFormat="1" applyFont="1" applyBorder="1"/>
    <xf numFmtId="0" fontId="41" fillId="0" borderId="0" xfId="0" applyFont="1"/>
    <xf numFmtId="0" fontId="18" fillId="0" borderId="0" xfId="0" applyFont="1"/>
    <xf numFmtId="4" fontId="47" fillId="0" borderId="0" xfId="0" applyNumberFormat="1" applyFont="1" applyAlignment="1">
      <alignment horizontal="right"/>
    </xf>
    <xf numFmtId="0" fontId="48" fillId="0" borderId="0" xfId="0" applyFont="1"/>
    <xf numFmtId="0" fontId="47" fillId="0" borderId="0" xfId="0" applyFont="1"/>
    <xf numFmtId="0" fontId="18" fillId="0" borderId="7" xfId="0" applyFont="1" applyBorder="1"/>
    <xf numFmtId="0" fontId="47" fillId="0" borderId="0" xfId="0" applyFont="1" applyAlignment="1">
      <alignment horizontal="right"/>
    </xf>
    <xf numFmtId="0" fontId="47" fillId="0" borderId="7" xfId="0" applyFont="1" applyBorder="1"/>
    <xf numFmtId="37" fontId="47" fillId="0" borderId="0" xfId="0" applyNumberFormat="1" applyFont="1" applyAlignment="1">
      <alignment horizontal="right"/>
    </xf>
    <xf numFmtId="37" fontId="48" fillId="0" borderId="0" xfId="0" applyNumberFormat="1" applyFont="1"/>
    <xf numFmtId="37" fontId="47" fillId="0" borderId="0" xfId="0" applyNumberFormat="1" applyFont="1"/>
    <xf numFmtId="37" fontId="18" fillId="0" borderId="0" xfId="0" applyNumberFormat="1" applyFont="1" applyAlignment="1">
      <alignment horizontal="right"/>
    </xf>
    <xf numFmtId="37" fontId="18" fillId="0" borderId="7" xfId="0" applyNumberFormat="1" applyFont="1" applyBorder="1"/>
    <xf numFmtId="0" fontId="0" fillId="0" borderId="25" xfId="0" applyBorder="1" applyAlignment="1">
      <alignment horizontal="right"/>
    </xf>
    <xf numFmtId="0" fontId="15" fillId="0" borderId="9" xfId="0" applyFont="1" applyBorder="1"/>
    <xf numFmtId="5" fontId="15" fillId="0" borderId="24" xfId="6" applyNumberFormat="1" applyFont="1" applyBorder="1" applyAlignment="1">
      <alignment horizontal="right"/>
    </xf>
    <xf numFmtId="171" fontId="49" fillId="0" borderId="0" xfId="0" applyNumberFormat="1" applyFont="1"/>
    <xf numFmtId="5" fontId="15" fillId="0" borderId="44" xfId="6" applyNumberFormat="1" applyFont="1" applyBorder="1" applyAlignment="1">
      <alignment horizontal="right"/>
    </xf>
    <xf numFmtId="5" fontId="15" fillId="0" borderId="0" xfId="6" applyNumberFormat="1" applyFont="1" applyFill="1" applyBorder="1" applyAlignment="1">
      <alignment horizontal="right"/>
    </xf>
    <xf numFmtId="0" fontId="0" fillId="0" borderId="7" xfId="0" applyBorder="1" applyAlignment="1">
      <alignment horizontal="right"/>
    </xf>
    <xf numFmtId="5" fontId="7" fillId="0" borderId="0" xfId="0" applyNumberFormat="1" applyFont="1" applyAlignment="1">
      <alignment horizontal="right"/>
    </xf>
    <xf numFmtId="171" fontId="0" fillId="0" borderId="0" xfId="0" applyNumberFormat="1"/>
    <xf numFmtId="171" fontId="41" fillId="0" borderId="0" xfId="0" applyNumberFormat="1" applyFont="1"/>
    <xf numFmtId="5" fontId="7" fillId="0" borderId="7" xfId="0" applyNumberFormat="1" applyFont="1" applyBorder="1" applyAlignment="1">
      <alignment horizontal="right"/>
    </xf>
    <xf numFmtId="5" fontId="7" fillId="0" borderId="33" xfId="0" applyNumberFormat="1" applyFont="1" applyBorder="1" applyAlignment="1">
      <alignment horizontal="right"/>
    </xf>
    <xf numFmtId="5" fontId="7" fillId="0" borderId="34" xfId="0" applyNumberFormat="1" applyFont="1" applyBorder="1" applyAlignment="1">
      <alignment horizontal="right"/>
    </xf>
    <xf numFmtId="5" fontId="15" fillId="0" borderId="0" xfId="0" applyNumberFormat="1" applyFont="1" applyAlignment="1">
      <alignment horizontal="right"/>
    </xf>
    <xf numFmtId="5" fontId="15" fillId="0" borderId="7" xfId="0" applyNumberFormat="1" applyFont="1" applyBorder="1" applyAlignment="1">
      <alignment horizontal="right"/>
    </xf>
    <xf numFmtId="171" fontId="15" fillId="0" borderId="33" xfId="0" applyNumberFormat="1" applyFont="1" applyBorder="1" applyAlignment="1">
      <alignment horizontal="right"/>
    </xf>
    <xf numFmtId="171" fontId="15" fillId="0" borderId="34" xfId="0" applyNumberFormat="1" applyFont="1" applyBorder="1" applyAlignment="1">
      <alignment horizontal="right"/>
    </xf>
    <xf numFmtId="171" fontId="15" fillId="0" borderId="0" xfId="0" applyNumberFormat="1" applyFont="1" applyAlignment="1">
      <alignment horizontal="right"/>
    </xf>
    <xf numFmtId="0" fontId="15" fillId="0" borderId="13" xfId="0" applyFont="1" applyBorder="1"/>
    <xf numFmtId="5" fontId="15" fillId="0" borderId="18" xfId="0" applyNumberFormat="1" applyFont="1" applyBorder="1" applyAlignment="1">
      <alignment horizontal="right"/>
    </xf>
    <xf numFmtId="171" fontId="15" fillId="0" borderId="18" xfId="0" applyNumberFormat="1" applyFont="1" applyBorder="1"/>
    <xf numFmtId="171" fontId="49" fillId="0" borderId="18" xfId="0" applyNumberFormat="1" applyFont="1" applyBorder="1"/>
    <xf numFmtId="5" fontId="15" fillId="0" borderId="35" xfId="0" applyNumberFormat="1" applyFont="1" applyBorder="1" applyAlignment="1">
      <alignment horizontal="right"/>
    </xf>
    <xf numFmtId="0" fontId="0" fillId="0" borderId="0" xfId="0" applyAlignment="1">
      <alignment horizontal="center"/>
    </xf>
    <xf numFmtId="0" fontId="15" fillId="0" borderId="16" xfId="0" applyFont="1" applyBorder="1" applyAlignment="1">
      <alignment horizontal="center"/>
    </xf>
    <xf numFmtId="0" fontId="49" fillId="0" borderId="16" xfId="0" applyFont="1" applyBorder="1" applyAlignment="1">
      <alignment horizontal="center"/>
    </xf>
    <xf numFmtId="0" fontId="0" fillId="0" borderId="16" xfId="0" applyBorder="1"/>
    <xf numFmtId="166" fontId="7" fillId="0" borderId="0" xfId="7" applyNumberFormat="1" applyFont="1" applyBorder="1"/>
    <xf numFmtId="172" fontId="15" fillId="0" borderId="0" xfId="0" applyNumberFormat="1" applyFont="1" applyAlignment="1">
      <alignment horizontal="right"/>
    </xf>
    <xf numFmtId="172" fontId="49" fillId="0" borderId="0" xfId="0" applyNumberFormat="1" applyFont="1" applyAlignment="1">
      <alignment horizontal="right"/>
    </xf>
    <xf numFmtId="5" fontId="7" fillId="0" borderId="0" xfId="7" applyNumberFormat="1" applyFont="1" applyBorder="1"/>
    <xf numFmtId="166" fontId="7" fillId="0" borderId="0" xfId="7" applyNumberFormat="1" applyFont="1" applyBorder="1" applyAlignment="1">
      <alignment horizontal="center"/>
    </xf>
    <xf numFmtId="172" fontId="15" fillId="0" borderId="0" xfId="0" applyNumberFormat="1" applyFont="1" applyAlignment="1">
      <alignment horizontal="center"/>
    </xf>
    <xf numFmtId="172" fontId="15" fillId="0" borderId="9" xfId="0" applyNumberFormat="1" applyFont="1" applyBorder="1" applyAlignment="1">
      <alignment horizontal="center"/>
    </xf>
    <xf numFmtId="172" fontId="15" fillId="0" borderId="8" xfId="0" applyNumberFormat="1" applyFont="1" applyBorder="1" applyAlignment="1">
      <alignment horizontal="center"/>
    </xf>
    <xf numFmtId="166" fontId="7" fillId="0" borderId="0" xfId="0" applyNumberFormat="1" applyFont="1"/>
    <xf numFmtId="5" fontId="7" fillId="0" borderId="0" xfId="0" applyNumberFormat="1" applyFont="1"/>
    <xf numFmtId="166" fontId="7" fillId="0" borderId="0" xfId="0" applyNumberFormat="1" applyFont="1" applyAlignment="1">
      <alignment horizontal="center"/>
    </xf>
    <xf numFmtId="0" fontId="15" fillId="0" borderId="9" xfId="0" applyFont="1" applyBorder="1" applyAlignment="1">
      <alignment horizontal="center"/>
    </xf>
    <xf numFmtId="172" fontId="15" fillId="0" borderId="12" xfId="0" applyNumberFormat="1" applyFont="1" applyBorder="1" applyAlignment="1">
      <alignment horizontal="center"/>
    </xf>
    <xf numFmtId="172" fontId="15" fillId="0" borderId="0" xfId="5" applyNumberFormat="1" applyFont="1" applyBorder="1" applyAlignment="1">
      <alignment horizontal="right"/>
    </xf>
    <xf numFmtId="172" fontId="49" fillId="0" borderId="0" xfId="5" applyNumberFormat="1" applyFont="1" applyBorder="1" applyAlignment="1">
      <alignment horizontal="right"/>
    </xf>
    <xf numFmtId="172" fontId="15" fillId="0" borderId="0" xfId="5" applyNumberFormat="1" applyFont="1" applyBorder="1" applyAlignment="1">
      <alignment horizontal="center"/>
    </xf>
    <xf numFmtId="172" fontId="15" fillId="0" borderId="12" xfId="5" applyNumberFormat="1" applyFont="1" applyBorder="1" applyAlignment="1">
      <alignment horizontal="center"/>
    </xf>
    <xf numFmtId="171" fontId="7" fillId="0" borderId="0" xfId="0" applyNumberFormat="1" applyFont="1"/>
    <xf numFmtId="7" fontId="7" fillId="0" borderId="0" xfId="0" applyNumberFormat="1" applyFont="1"/>
    <xf numFmtId="171" fontId="7" fillId="0" borderId="0" xfId="0" applyNumberFormat="1" applyFont="1" applyAlignment="1">
      <alignment horizontal="center"/>
    </xf>
    <xf numFmtId="0" fontId="49" fillId="0" borderId="0" xfId="0" applyFont="1" applyAlignment="1">
      <alignment horizontal="right"/>
    </xf>
    <xf numFmtId="166" fontId="0" fillId="0" borderId="0" xfId="0" applyNumberFormat="1" applyAlignment="1">
      <alignment horizontal="center"/>
    </xf>
    <xf numFmtId="0" fontId="15" fillId="0" borderId="0" xfId="0" applyFont="1" applyAlignment="1">
      <alignment horizontal="center"/>
    </xf>
    <xf numFmtId="0" fontId="15" fillId="0" borderId="12" xfId="0" applyFont="1" applyBorder="1" applyAlignment="1">
      <alignment horizontal="center"/>
    </xf>
    <xf numFmtId="172" fontId="15" fillId="0" borderId="18" xfId="0" applyNumberFormat="1" applyFont="1" applyBorder="1" applyAlignment="1">
      <alignment horizontal="right"/>
    </xf>
    <xf numFmtId="172" fontId="49" fillId="0" borderId="18" xfId="0" applyNumberFormat="1" applyFont="1" applyBorder="1" applyAlignment="1">
      <alignment horizontal="right"/>
    </xf>
    <xf numFmtId="0" fontId="0" fillId="0" borderId="18" xfId="0" applyBorder="1"/>
    <xf numFmtId="166" fontId="18" fillId="0" borderId="18" xfId="0" applyNumberFormat="1" applyFont="1" applyBorder="1"/>
    <xf numFmtId="166" fontId="18" fillId="0" borderId="18" xfId="0" applyNumberFormat="1" applyFont="1" applyBorder="1" applyAlignment="1">
      <alignment horizontal="center"/>
    </xf>
    <xf numFmtId="172" fontId="15" fillId="0" borderId="18" xfId="0" applyNumberFormat="1" applyFont="1" applyBorder="1" applyAlignment="1">
      <alignment horizontal="center"/>
    </xf>
    <xf numFmtId="172" fontId="15" fillId="0" borderId="13" xfId="0" applyNumberFormat="1" applyFont="1" applyBorder="1" applyAlignment="1">
      <alignment horizontal="center"/>
    </xf>
    <xf numFmtId="172" fontId="15" fillId="0" borderId="14" xfId="0" applyNumberFormat="1" applyFont="1" applyBorder="1" applyAlignment="1">
      <alignment horizontal="center"/>
    </xf>
    <xf numFmtId="2" fontId="0" fillId="0" borderId="7" xfId="0" applyNumberFormat="1" applyBorder="1"/>
    <xf numFmtId="167" fontId="0" fillId="0" borderId="26" xfId="0" applyNumberFormat="1" applyBorder="1"/>
    <xf numFmtId="167" fontId="0" fillId="0" borderId="25" xfId="0" applyNumberFormat="1" applyBorder="1"/>
    <xf numFmtId="0" fontId="0" fillId="0" borderId="5" xfId="0" applyBorder="1"/>
    <xf numFmtId="172" fontId="7" fillId="0" borderId="7" xfId="0" applyNumberFormat="1" applyFont="1" applyBorder="1" applyAlignment="1">
      <alignment horizontal="center"/>
    </xf>
    <xf numFmtId="7" fontId="0" fillId="0" borderId="0" xfId="0" applyNumberFormat="1"/>
    <xf numFmtId="2" fontId="0" fillId="0" borderId="26" xfId="0" applyNumberFormat="1" applyBorder="1"/>
    <xf numFmtId="2" fontId="0" fillId="0" borderId="25" xfId="0" applyNumberFormat="1" applyBorder="1"/>
    <xf numFmtId="0" fontId="43" fillId="0" borderId="6" xfId="0" applyFont="1" applyBorder="1"/>
    <xf numFmtId="0" fontId="0" fillId="0" borderId="14" xfId="0" applyBorder="1"/>
    <xf numFmtId="14" fontId="0" fillId="0" borderId="0" xfId="0" applyNumberFormat="1" applyAlignment="1">
      <alignment horizontal="right"/>
    </xf>
    <xf numFmtId="40" fontId="0" fillId="0" borderId="0" xfId="0" applyNumberFormat="1" applyAlignment="1">
      <alignment horizontal="right"/>
    </xf>
    <xf numFmtId="8" fontId="0" fillId="0" borderId="0" xfId="0" applyNumberFormat="1"/>
    <xf numFmtId="173" fontId="0" fillId="0" borderId="0" xfId="0" applyNumberFormat="1"/>
    <xf numFmtId="0" fontId="43" fillId="0" borderId="11" xfId="0" applyFont="1" applyBorder="1"/>
    <xf numFmtId="10" fontId="43" fillId="0" borderId="5" xfId="0" applyNumberFormat="1" applyFont="1" applyBorder="1"/>
    <xf numFmtId="0" fontId="12" fillId="6" borderId="45" xfId="0" applyFont="1" applyFill="1" applyBorder="1" applyAlignment="1">
      <alignment horizontal="left" vertical="center"/>
    </xf>
    <xf numFmtId="0" fontId="12" fillId="6" borderId="22" xfId="0" applyFont="1" applyFill="1" applyBorder="1" applyAlignment="1">
      <alignment horizontal="left" vertical="center"/>
    </xf>
    <xf numFmtId="0" fontId="12" fillId="6" borderId="22" xfId="0" applyFont="1" applyFill="1" applyBorder="1" applyAlignment="1">
      <alignment horizontal="centerContinuous" vertical="center"/>
    </xf>
    <xf numFmtId="0" fontId="12" fillId="6" borderId="21" xfId="0" applyFont="1" applyFill="1" applyBorder="1" applyAlignment="1">
      <alignment horizontal="centerContinuous" vertical="center"/>
    </xf>
    <xf numFmtId="0" fontId="13" fillId="6" borderId="40" xfId="0" applyFont="1" applyFill="1" applyBorder="1" applyAlignment="1">
      <alignment horizontal="left" vertical="center"/>
    </xf>
    <xf numFmtId="0" fontId="13" fillId="6" borderId="4" xfId="0" applyFont="1" applyFill="1" applyBorder="1" applyAlignment="1">
      <alignment horizontal="left" vertical="center"/>
    </xf>
    <xf numFmtId="0" fontId="12" fillId="6" borderId="4" xfId="0" applyFont="1" applyFill="1" applyBorder="1" applyAlignment="1">
      <alignment horizontal="center" vertical="center"/>
    </xf>
    <xf numFmtId="0" fontId="12" fillId="6" borderId="5" xfId="0" applyFont="1" applyFill="1" applyBorder="1" applyAlignment="1">
      <alignment horizontal="center" vertical="center"/>
    </xf>
    <xf numFmtId="0" fontId="12" fillId="6" borderId="10" xfId="0" applyFont="1" applyFill="1" applyBorder="1" applyAlignment="1">
      <alignment horizontal="centerContinuous" vertical="center"/>
    </xf>
    <xf numFmtId="0" fontId="4" fillId="6" borderId="23" xfId="0" applyFont="1" applyFill="1" applyBorder="1" applyAlignment="1">
      <alignment horizontal="centerContinuous"/>
    </xf>
    <xf numFmtId="0" fontId="40" fillId="6" borderId="21" xfId="0" applyFont="1" applyFill="1" applyBorder="1" applyAlignment="1">
      <alignment horizontal="centerContinuous"/>
    </xf>
    <xf numFmtId="0" fontId="16" fillId="6" borderId="1" xfId="0" applyFont="1" applyFill="1" applyBorder="1" applyAlignment="1">
      <alignment horizontal="centerContinuous" vertical="center"/>
    </xf>
    <xf numFmtId="0" fontId="16" fillId="6" borderId="3" xfId="0" applyFont="1" applyFill="1" applyBorder="1" applyAlignment="1">
      <alignment horizontal="centerContinuous" vertical="center"/>
    </xf>
    <xf numFmtId="0" fontId="4" fillId="6" borderId="1" xfId="0" applyFont="1" applyFill="1" applyBorder="1"/>
    <xf numFmtId="0" fontId="4" fillId="6" borderId="2" xfId="0" applyFont="1" applyFill="1" applyBorder="1"/>
    <xf numFmtId="0" fontId="4" fillId="6" borderId="3" xfId="0" applyFont="1" applyFill="1" applyBorder="1"/>
    <xf numFmtId="0" fontId="4" fillId="6" borderId="11" xfId="0" applyFont="1" applyFill="1" applyBorder="1"/>
    <xf numFmtId="0" fontId="4" fillId="6" borderId="4" xfId="0" applyFont="1" applyFill="1" applyBorder="1"/>
    <xf numFmtId="0" fontId="4" fillId="6" borderId="5" xfId="0" applyFont="1" applyFill="1" applyBorder="1"/>
    <xf numFmtId="0" fontId="4" fillId="6" borderId="41" xfId="0" applyFont="1" applyFill="1" applyBorder="1" applyAlignment="1">
      <alignment horizontal="center"/>
    </xf>
    <xf numFmtId="0" fontId="4" fillId="6" borderId="42" xfId="0" applyFont="1" applyFill="1" applyBorder="1" applyAlignment="1">
      <alignment horizontal="center"/>
    </xf>
    <xf numFmtId="0" fontId="4" fillId="6" borderId="43" xfId="0" applyFont="1" applyFill="1" applyBorder="1" applyAlignment="1">
      <alignment horizontal="center"/>
    </xf>
    <xf numFmtId="0" fontId="4" fillId="6" borderId="39" xfId="0" applyFont="1" applyFill="1" applyBorder="1"/>
    <xf numFmtId="0" fontId="16" fillId="6" borderId="15" xfId="0" applyFont="1" applyFill="1" applyBorder="1"/>
    <xf numFmtId="0" fontId="16" fillId="6" borderId="16" xfId="0" applyFont="1" applyFill="1" applyBorder="1" applyAlignment="1">
      <alignment horizontal="centerContinuous"/>
    </xf>
    <xf numFmtId="0" fontId="16" fillId="6" borderId="17" xfId="0" applyFont="1" applyFill="1" applyBorder="1" applyAlignment="1">
      <alignment horizontal="centerContinuous"/>
    </xf>
    <xf numFmtId="0" fontId="16" fillId="6" borderId="13" xfId="0" applyFont="1" applyFill="1" applyBorder="1"/>
    <xf numFmtId="0" fontId="16" fillId="6" borderId="18" xfId="0" applyFont="1" applyFill="1" applyBorder="1" applyAlignment="1">
      <alignment horizontal="centerContinuous"/>
    </xf>
    <xf numFmtId="0" fontId="16" fillId="6" borderId="14" xfId="0" applyFont="1" applyFill="1" applyBorder="1" applyAlignment="1">
      <alignment horizontal="centerContinuous"/>
    </xf>
    <xf numFmtId="0" fontId="16" fillId="6" borderId="15" xfId="0" applyFont="1" applyFill="1" applyBorder="1" applyAlignment="1">
      <alignment horizontal="centerContinuous"/>
    </xf>
    <xf numFmtId="0" fontId="16" fillId="6" borderId="13" xfId="0" applyFont="1" applyFill="1" applyBorder="1" applyAlignment="1">
      <alignment horizontal="centerContinuous"/>
    </xf>
    <xf numFmtId="0" fontId="4" fillId="6" borderId="15" xfId="0" applyFont="1" applyFill="1" applyBorder="1" applyAlignment="1">
      <alignment horizontal="centerContinuous" vertical="center"/>
    </xf>
    <xf numFmtId="0" fontId="4" fillId="6" borderId="16" xfId="0" applyFont="1" applyFill="1" applyBorder="1" applyAlignment="1">
      <alignment horizontal="centerContinuous" vertical="center"/>
    </xf>
    <xf numFmtId="0" fontId="4" fillId="6" borderId="30" xfId="0" applyFont="1" applyFill="1" applyBorder="1" applyAlignment="1">
      <alignment horizontal="centerContinuous" vertical="center"/>
    </xf>
    <xf numFmtId="0" fontId="4" fillId="6" borderId="37" xfId="0" applyFont="1" applyFill="1" applyBorder="1" applyAlignment="1">
      <alignment horizontal="centerContinuous" vertical="center"/>
    </xf>
    <xf numFmtId="0" fontId="12" fillId="6" borderId="2" xfId="0" applyFont="1" applyFill="1" applyBorder="1" applyAlignment="1">
      <alignment horizontal="centerContinuous" vertical="center"/>
    </xf>
    <xf numFmtId="0" fontId="12" fillId="6" borderId="3" xfId="0" applyFont="1" applyFill="1" applyBorder="1" applyAlignment="1">
      <alignment horizontal="centerContinuous" vertical="center"/>
    </xf>
    <xf numFmtId="0" fontId="4" fillId="6" borderId="9" xfId="0" applyFont="1" applyFill="1" applyBorder="1" applyAlignment="1">
      <alignment horizontal="center" vertical="center"/>
    </xf>
    <xf numFmtId="0" fontId="4" fillId="6" borderId="0" xfId="0" applyFont="1" applyFill="1" applyAlignment="1">
      <alignment horizontal="center" vertical="center"/>
    </xf>
    <xf numFmtId="0" fontId="4" fillId="6" borderId="7" xfId="0" applyFont="1" applyFill="1" applyBorder="1" applyAlignment="1">
      <alignment horizontal="center" vertical="center"/>
    </xf>
    <xf numFmtId="0" fontId="12" fillId="6" borderId="0" xfId="0" applyFont="1" applyFill="1" applyAlignment="1">
      <alignment horizontal="center" vertical="center"/>
    </xf>
    <xf numFmtId="0" fontId="12" fillId="6" borderId="7" xfId="0" applyFont="1" applyFill="1" applyBorder="1" applyAlignment="1">
      <alignment horizontal="center" vertical="center"/>
    </xf>
    <xf numFmtId="0" fontId="4" fillId="6" borderId="2" xfId="0" applyFont="1" applyFill="1" applyBorder="1" applyAlignment="1">
      <alignment horizontal="centerContinuous"/>
    </xf>
    <xf numFmtId="0" fontId="4" fillId="6" borderId="3" xfId="0" applyFont="1" applyFill="1" applyBorder="1" applyAlignment="1">
      <alignment horizontal="centerContinuous"/>
    </xf>
    <xf numFmtId="0" fontId="4" fillId="6" borderId="6" xfId="0" applyFont="1" applyFill="1" applyBorder="1"/>
    <xf numFmtId="0" fontId="4" fillId="6" borderId="0" xfId="0" applyFont="1" applyFill="1" applyAlignment="1">
      <alignment wrapText="1"/>
    </xf>
    <xf numFmtId="0" fontId="4" fillId="6" borderId="0" xfId="0" applyFont="1" applyFill="1" applyAlignment="1">
      <alignment horizontal="centerContinuous"/>
    </xf>
    <xf numFmtId="0" fontId="4" fillId="6" borderId="7" xfId="0" applyFont="1" applyFill="1" applyBorder="1" applyAlignment="1">
      <alignment horizontal="centerContinuous"/>
    </xf>
    <xf numFmtId="0" fontId="12" fillId="6" borderId="1" xfId="0" applyFont="1" applyFill="1" applyBorder="1" applyAlignment="1">
      <alignment horizontal="left" vertical="center"/>
    </xf>
    <xf numFmtId="0" fontId="12" fillId="6" borderId="1" xfId="0" applyFont="1" applyFill="1" applyBorder="1" applyAlignment="1">
      <alignment horizontal="centerContinuous" vertical="center"/>
    </xf>
    <xf numFmtId="0" fontId="13" fillId="6" borderId="6" xfId="0" applyFont="1" applyFill="1" applyBorder="1" applyAlignment="1">
      <alignment horizontal="left" vertical="center"/>
    </xf>
    <xf numFmtId="0" fontId="12" fillId="6" borderId="6" xfId="0" applyFont="1" applyFill="1" applyBorder="1" applyAlignment="1">
      <alignment horizontal="center" vertical="center"/>
    </xf>
    <xf numFmtId="0" fontId="4" fillId="6" borderId="2" xfId="0" applyFont="1" applyFill="1" applyBorder="1" applyAlignment="1">
      <alignment horizontal="centerContinuous" vertical="center" wrapText="1"/>
    </xf>
    <xf numFmtId="0" fontId="4" fillId="6" borderId="0" xfId="0" applyFont="1" applyFill="1" applyAlignment="1">
      <alignment horizontal="center" vertical="center" wrapText="1"/>
    </xf>
    <xf numFmtId="0" fontId="4" fillId="6" borderId="0" xfId="0" applyFont="1" applyFill="1" applyAlignment="1">
      <alignment horizontal="right" vertical="center" wrapText="1"/>
    </xf>
    <xf numFmtId="0" fontId="4" fillId="6" borderId="7" xfId="0" applyFont="1" applyFill="1" applyBorder="1" applyAlignment="1">
      <alignment horizontal="right" vertical="center" wrapText="1"/>
    </xf>
    <xf numFmtId="0" fontId="4" fillId="6" borderId="1" xfId="0" applyFont="1" applyFill="1" applyBorder="1" applyAlignment="1">
      <alignment horizontal="left" vertical="center"/>
    </xf>
    <xf numFmtId="0" fontId="4" fillId="6" borderId="3" xfId="0" applyFont="1" applyFill="1" applyBorder="1" applyAlignment="1">
      <alignment horizontal="centerContinuous" vertical="center"/>
    </xf>
    <xf numFmtId="0" fontId="21" fillId="6" borderId="27" xfId="0" applyFont="1" applyFill="1" applyBorder="1" applyAlignment="1">
      <alignment horizontal="centerContinuous" vertical="center"/>
    </xf>
    <xf numFmtId="0" fontId="14" fillId="6" borderId="6" xfId="0" applyFont="1" applyFill="1" applyBorder="1" applyAlignment="1">
      <alignment horizontal="left" vertical="center"/>
    </xf>
    <xf numFmtId="0" fontId="21" fillId="6" borderId="6" xfId="0" applyFont="1" applyFill="1" applyBorder="1" applyAlignment="1">
      <alignment horizontal="center" vertical="center"/>
    </xf>
    <xf numFmtId="0" fontId="21" fillId="6" borderId="0" xfId="0" applyFont="1" applyFill="1" applyAlignment="1">
      <alignment horizontal="center" vertical="center"/>
    </xf>
    <xf numFmtId="0" fontId="21" fillId="6" borderId="7" xfId="0" applyFont="1" applyFill="1" applyBorder="1" applyAlignment="1">
      <alignment horizontal="center" vertical="center"/>
    </xf>
    <xf numFmtId="0" fontId="4" fillId="6" borderId="1" xfId="0" applyFont="1" applyFill="1" applyBorder="1" applyAlignment="1">
      <alignment horizontal="centerContinuous"/>
    </xf>
    <xf numFmtId="0" fontId="4" fillId="6" borderId="23" xfId="0" applyFont="1" applyFill="1" applyBorder="1" applyAlignment="1">
      <alignment horizontal="center" vertical="center"/>
    </xf>
    <xf numFmtId="0" fontId="4" fillId="6" borderId="22" xfId="0" applyFont="1" applyFill="1" applyBorder="1" applyAlignment="1">
      <alignment horizontal="center" vertical="center"/>
    </xf>
    <xf numFmtId="0" fontId="4" fillId="6" borderId="21" xfId="0" applyFont="1" applyFill="1" applyBorder="1" applyAlignment="1">
      <alignment horizontal="center" vertical="center"/>
    </xf>
    <xf numFmtId="0" fontId="21" fillId="6" borderId="22" xfId="0" applyFont="1" applyFill="1" applyBorder="1" applyAlignment="1">
      <alignment horizontal="center" vertical="center"/>
    </xf>
    <xf numFmtId="0" fontId="21" fillId="6" borderId="21" xfId="0" applyFont="1" applyFill="1" applyBorder="1" applyAlignment="1">
      <alignment horizontal="center" vertical="center"/>
    </xf>
    <xf numFmtId="0" fontId="40" fillId="6" borderId="23" xfId="0" applyFont="1" applyFill="1" applyBorder="1"/>
    <xf numFmtId="0" fontId="4" fillId="6" borderId="10" xfId="0" applyFont="1" applyFill="1" applyBorder="1"/>
    <xf numFmtId="0" fontId="21" fillId="6" borderId="23" xfId="0" applyFont="1" applyFill="1" applyBorder="1" applyAlignment="1">
      <alignment horizontal="center" vertical="center"/>
    </xf>
    <xf numFmtId="0" fontId="4" fillId="6" borderId="1" xfId="0" applyFont="1" applyFill="1" applyBorder="1" applyAlignment="1">
      <alignment horizontal="center" vertical="center"/>
    </xf>
    <xf numFmtId="0" fontId="4" fillId="6" borderId="6" xfId="0" applyFont="1" applyFill="1" applyBorder="1" applyAlignment="1">
      <alignment horizontal="center" vertical="center"/>
    </xf>
    <xf numFmtId="0" fontId="4" fillId="6" borderId="2" xfId="0" applyFont="1" applyFill="1" applyBorder="1" applyAlignment="1">
      <alignment horizontal="center" vertical="center"/>
    </xf>
    <xf numFmtId="0" fontId="4" fillId="6" borderId="3" xfId="0" applyFont="1" applyFill="1" applyBorder="1" applyAlignment="1">
      <alignment horizontal="center" vertical="center"/>
    </xf>
  </cellXfs>
  <cellStyles count="9">
    <cellStyle name="Comma" xfId="2" builtinId="3"/>
    <cellStyle name="Comma 2" xfId="6" xr:uid="{2746A459-B03A-46DC-89C9-B6261819708D}"/>
    <cellStyle name="Currency 2" xfId="7" xr:uid="{0C7DE9DF-3C7C-4C36-9323-0A8BA577BF4E}"/>
    <cellStyle name="Hyperlink" xfId="1" builtinId="8"/>
    <cellStyle name="Normal" xfId="0" builtinId="0"/>
    <cellStyle name="Normal 2" xfId="4" xr:uid="{4760112C-38BC-4394-B681-CDFB7C80CE87}"/>
    <cellStyle name="Percent" xfId="3" builtinId="5"/>
    <cellStyle name="Percent 2" xfId="5" xr:uid="{1536605C-A076-4776-92DE-C0912E24AE73}"/>
    <cellStyle name="Percent 3" xfId="8" xr:uid="{8EC5047E-ED28-4E42-8369-52C38C9AA9C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15240</xdr:rowOff>
    </xdr:from>
    <xdr:to>
      <xdr:col>12</xdr:col>
      <xdr:colOff>393858</xdr:colOff>
      <xdr:row>13</xdr:row>
      <xdr:rowOff>38100</xdr:rowOff>
    </xdr:to>
    <xdr:pic>
      <xdr:nvPicPr>
        <xdr:cNvPr id="2" name="Picture 1" descr="T-Mobile Logo PNG Transparent &amp; SVG Vector - Freebie Supply">
          <a:extLst>
            <a:ext uri="{FF2B5EF4-FFF2-40B4-BE49-F238E27FC236}">
              <a16:creationId xmlns:a16="http://schemas.microsoft.com/office/drawing/2014/main" id="{31E6320B-97EC-4865-D591-77C2A55C6E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9600" y="15240"/>
          <a:ext cx="7701438" cy="2400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270AC-A7F1-4077-A62F-8D947F86F096}">
  <dimension ref="B15:B24"/>
  <sheetViews>
    <sheetView showGridLines="0" workbookViewId="0">
      <selection activeCell="B17" sqref="B17"/>
    </sheetView>
  </sheetViews>
  <sheetFormatPr baseColWidth="10" defaultColWidth="8.83203125" defaultRowHeight="15" x14ac:dyDescent="0.2"/>
  <cols>
    <col min="2" max="2" width="17.6640625" bestFit="1" customWidth="1"/>
  </cols>
  <sheetData>
    <row r="15" spans="2:2" x14ac:dyDescent="0.2">
      <c r="B15" t="s">
        <v>0</v>
      </c>
    </row>
    <row r="17" spans="2:2" x14ac:dyDescent="0.2">
      <c r="B17" s="257" t="s">
        <v>1</v>
      </c>
    </row>
    <row r="18" spans="2:2" x14ac:dyDescent="0.2">
      <c r="B18" s="257" t="s">
        <v>2</v>
      </c>
    </row>
    <row r="19" spans="2:2" x14ac:dyDescent="0.2">
      <c r="B19" s="257" t="s">
        <v>3</v>
      </c>
    </row>
    <row r="20" spans="2:2" x14ac:dyDescent="0.2">
      <c r="B20" s="257" t="s">
        <v>4</v>
      </c>
    </row>
    <row r="21" spans="2:2" x14ac:dyDescent="0.2">
      <c r="B21" s="257" t="s">
        <v>5</v>
      </c>
    </row>
    <row r="22" spans="2:2" x14ac:dyDescent="0.2">
      <c r="B22" s="257" t="s">
        <v>6</v>
      </c>
    </row>
    <row r="23" spans="2:2" x14ac:dyDescent="0.2">
      <c r="B23" s="257" t="s">
        <v>7</v>
      </c>
    </row>
    <row r="24" spans="2:2" x14ac:dyDescent="0.2">
      <c r="B24" s="257" t="s">
        <v>8</v>
      </c>
    </row>
  </sheetData>
  <hyperlinks>
    <hyperlink ref="B17" location="'Income Statement'!A1" display="Income Statement" xr:uid="{0E79241A-6358-41D7-A996-CFA0E5F2A3F6}"/>
    <hyperlink ref="B18" location="'Debt Schedule'!A1" display="Debt Schedule" xr:uid="{35F24902-6D58-46C9-8B9D-362BFE77C159}"/>
    <hyperlink ref="B19" location="'Balance Sheet'!A1" display="Balance Sheet" xr:uid="{1233D17F-327F-48A0-B57A-EFE24B7710E4}"/>
    <hyperlink ref="B20" location="'Cashflow Statement'!A1" display="Cashflow Statement" xr:uid="{08A2DF43-DCCB-40EB-91A7-E08826FAE902}"/>
    <hyperlink ref="B21" location="Calcs!A1" display="Calcs" xr:uid="{D4D0E345-F0AE-4EE5-99B6-366C5D3C0C5D}"/>
    <hyperlink ref="B22" location="Assumptions!A1" display="Assumptions" xr:uid="{262FD2E7-8AC9-4EBD-AB4F-BEF2EC632012}"/>
    <hyperlink ref="B23" location="LTM!A1" display="LTM" xr:uid="{8B02E250-DCE7-4BCE-97B3-90516952212C}"/>
    <hyperlink ref="B24" location="Comps!A1" display="Comps" xr:uid="{B50FDB3E-8D87-45FC-97E9-5C3CE47845BB}"/>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0E145-09CA-AD4A-B50D-2BA48AE67079}">
  <dimension ref="B2:X78"/>
  <sheetViews>
    <sheetView showGridLines="0" zoomScale="69" zoomScaleNormal="100" zoomScaleSheetLayoutView="100" workbookViewId="0">
      <selection activeCell="H8" sqref="H8"/>
    </sheetView>
  </sheetViews>
  <sheetFormatPr baseColWidth="10" defaultColWidth="8.6640625" defaultRowHeight="15" x14ac:dyDescent="0.2"/>
  <cols>
    <col min="2" max="2" width="57.33203125" bestFit="1" customWidth="1"/>
    <col min="3" max="5" width="15.5" customWidth="1"/>
    <col min="6" max="7" width="9.6640625" bestFit="1" customWidth="1"/>
    <col min="8" max="8" width="11.33203125" bestFit="1" customWidth="1"/>
    <col min="9" max="9" width="10.6640625" bestFit="1" customWidth="1"/>
    <col min="10" max="12" width="9.5" bestFit="1" customWidth="1"/>
    <col min="13" max="13" width="15.5" customWidth="1"/>
    <col min="14" max="14" width="49.1640625" bestFit="1" customWidth="1"/>
  </cols>
  <sheetData>
    <row r="2" spans="2:24" ht="15" customHeight="1" x14ac:dyDescent="0.2">
      <c r="B2" s="569" t="s">
        <v>9</v>
      </c>
      <c r="C2" s="545" t="s">
        <v>10</v>
      </c>
      <c r="D2" s="545"/>
      <c r="E2" s="545"/>
      <c r="F2" s="546"/>
      <c r="G2" s="570"/>
      <c r="H2" s="571" t="s">
        <v>11</v>
      </c>
      <c r="I2" s="548"/>
      <c r="J2" s="548"/>
      <c r="K2" s="548"/>
      <c r="L2" s="549"/>
    </row>
    <row r="3" spans="2:24" ht="15" customHeight="1" x14ac:dyDescent="0.2">
      <c r="B3" s="572" t="s">
        <v>12</v>
      </c>
      <c r="C3" s="551" t="s">
        <v>13</v>
      </c>
      <c r="D3" s="551" t="s">
        <v>14</v>
      </c>
      <c r="E3" s="551" t="s">
        <v>15</v>
      </c>
      <c r="F3" s="551" t="s">
        <v>16</v>
      </c>
      <c r="G3" s="552" t="s">
        <v>17</v>
      </c>
      <c r="H3" s="573" t="s">
        <v>18</v>
      </c>
      <c r="I3" s="574" t="s">
        <v>19</v>
      </c>
      <c r="J3" s="574" t="s">
        <v>20</v>
      </c>
      <c r="K3" s="574" t="s">
        <v>21</v>
      </c>
      <c r="L3" s="575" t="s">
        <v>22</v>
      </c>
    </row>
    <row r="4" spans="2:24" ht="15" customHeight="1" x14ac:dyDescent="0.2">
      <c r="B4" s="18" t="s">
        <v>23</v>
      </c>
      <c r="C4" s="107"/>
      <c r="D4" s="107"/>
      <c r="E4" s="107"/>
      <c r="F4" s="107"/>
      <c r="G4" s="108"/>
      <c r="H4" s="11"/>
      <c r="L4" s="21"/>
    </row>
    <row r="5" spans="2:24" ht="15" customHeight="1" x14ac:dyDescent="0.2">
      <c r="B5" s="11" t="s">
        <v>24</v>
      </c>
      <c r="C5" s="99">
        <v>42562</v>
      </c>
      <c r="D5" s="99">
        <v>45919</v>
      </c>
      <c r="E5" s="99">
        <v>48692</v>
      </c>
      <c r="F5" s="99">
        <v>52340</v>
      </c>
      <c r="G5" s="100">
        <v>57932</v>
      </c>
      <c r="H5" s="231"/>
      <c r="I5" s="99"/>
      <c r="J5" s="99"/>
      <c r="K5" s="99"/>
      <c r="L5" s="232"/>
      <c r="N5" s="43"/>
    </row>
    <row r="6" spans="2:24" ht="15" customHeight="1" x14ac:dyDescent="0.2">
      <c r="B6" s="11" t="s">
        <v>25</v>
      </c>
      <c r="C6" s="99">
        <v>9733</v>
      </c>
      <c r="D6" s="99">
        <v>9857</v>
      </c>
      <c r="E6" s="99">
        <v>9767</v>
      </c>
      <c r="F6" s="99">
        <v>10399</v>
      </c>
      <c r="G6" s="100">
        <v>10497</v>
      </c>
      <c r="H6" s="231"/>
      <c r="I6" s="99"/>
      <c r="J6" s="99"/>
      <c r="K6" s="99"/>
      <c r="L6" s="232"/>
    </row>
    <row r="7" spans="2:24" ht="15" customHeight="1" thickBot="1" x14ac:dyDescent="0.25">
      <c r="B7" s="11" t="s">
        <v>26</v>
      </c>
      <c r="C7" s="101">
        <v>6074</v>
      </c>
      <c r="D7" s="101">
        <v>5547</v>
      </c>
      <c r="E7" s="101">
        <v>4782</v>
      </c>
      <c r="F7" s="101">
        <v>3439</v>
      </c>
      <c r="G7" s="101">
        <v>2877</v>
      </c>
      <c r="H7" s="231"/>
      <c r="I7" s="99"/>
      <c r="J7" s="99"/>
      <c r="K7" s="99"/>
      <c r="L7" s="232"/>
    </row>
    <row r="8" spans="2:24" ht="15" customHeight="1" x14ac:dyDescent="0.2">
      <c r="B8" s="15" t="s">
        <v>27</v>
      </c>
      <c r="C8" s="109">
        <f>SUM(C5:C7)</f>
        <v>58369</v>
      </c>
      <c r="D8" s="109">
        <f>SUM(D5:D7)</f>
        <v>61323</v>
      </c>
      <c r="E8" s="109">
        <f>SUM(E5:E7)</f>
        <v>63241</v>
      </c>
      <c r="F8" s="109">
        <f>SUM(F5:F7)</f>
        <v>66178</v>
      </c>
      <c r="G8" s="110">
        <f>SUM(G5:G7)</f>
        <v>71306</v>
      </c>
      <c r="H8" s="109">
        <f>G8*(1+Assumptions!L5)</f>
        <v>76975.570000000007</v>
      </c>
      <c r="I8" s="109">
        <f>H8*(1+Assumptions!M5)</f>
        <v>82834.953670000017</v>
      </c>
      <c r="J8" s="109">
        <f>I8*(1+Assumptions!N5)</f>
        <v>88168.231054050018</v>
      </c>
      <c r="K8" s="109">
        <f>J8*(1+Assumptions!O5)</f>
        <v>93581.009940090778</v>
      </c>
      <c r="L8" s="110">
        <f>K8*(1+Assumptions!P5)</f>
        <v>99265.308362469645</v>
      </c>
    </row>
    <row r="9" spans="2:24" ht="15" customHeight="1" x14ac:dyDescent="0.2">
      <c r="B9" s="11" t="s">
        <v>28</v>
      </c>
      <c r="C9" s="99">
        <v>20727</v>
      </c>
      <c r="D9" s="99">
        <v>17130</v>
      </c>
      <c r="E9" s="99">
        <v>14138</v>
      </c>
      <c r="F9" s="99">
        <v>14263</v>
      </c>
      <c r="G9" s="100">
        <v>15972</v>
      </c>
      <c r="L9" s="21"/>
    </row>
    <row r="10" spans="2:24" ht="15" customHeight="1" thickBot="1" x14ac:dyDescent="0.25">
      <c r="B10" s="11" t="s">
        <v>29</v>
      </c>
      <c r="C10" s="101">
        <v>1022</v>
      </c>
      <c r="D10" s="101">
        <v>1118</v>
      </c>
      <c r="E10" s="101">
        <v>1179</v>
      </c>
      <c r="F10" s="101">
        <v>959</v>
      </c>
      <c r="G10" s="102">
        <v>1031</v>
      </c>
      <c r="H10" s="36"/>
      <c r="I10" s="36"/>
      <c r="J10" s="36"/>
      <c r="K10" s="36"/>
      <c r="L10" s="37"/>
    </row>
    <row r="11" spans="2:24" ht="15" customHeight="1" x14ac:dyDescent="0.2">
      <c r="B11" s="15" t="s">
        <v>30</v>
      </c>
      <c r="C11" s="12">
        <f>SUM(C8:C10)</f>
        <v>80118</v>
      </c>
      <c r="D11" s="12">
        <f t="shared" ref="D11:G11" si="0">SUM(D8:D10)</f>
        <v>79571</v>
      </c>
      <c r="E11" s="12">
        <f t="shared" si="0"/>
        <v>78558</v>
      </c>
      <c r="F11" s="12">
        <f t="shared" si="0"/>
        <v>81400</v>
      </c>
      <c r="G11" s="111">
        <f t="shared" si="0"/>
        <v>88309</v>
      </c>
      <c r="H11" s="12">
        <f>G11*(1+Assumptions!L6)</f>
        <v>94468.04</v>
      </c>
      <c r="I11" s="12">
        <f>H11*(1+Assumptions!M6)</f>
        <v>100831.37157</v>
      </c>
      <c r="J11" s="12">
        <f>I11*(1+Assumptions!N6)</f>
        <v>106683.50702904999</v>
      </c>
      <c r="K11" s="12">
        <f>J11*(1+Assumptions!O6)</f>
        <v>112630.49938772073</v>
      </c>
      <c r="L11" s="83">
        <f>K11*(1+Assumptions!P6)</f>
        <v>118864.82523884231</v>
      </c>
    </row>
    <row r="12" spans="2:24" ht="15" customHeight="1" x14ac:dyDescent="0.2">
      <c r="B12" s="15" t="s">
        <v>31</v>
      </c>
      <c r="C12" s="106"/>
      <c r="D12" s="106"/>
      <c r="E12" s="106"/>
      <c r="F12" s="106"/>
      <c r="G12" s="258"/>
      <c r="L12" s="21"/>
    </row>
    <row r="13" spans="2:24" ht="15" customHeight="1" x14ac:dyDescent="0.2">
      <c r="B13" s="11" t="s">
        <v>32</v>
      </c>
      <c r="C13" s="99">
        <v>13934</v>
      </c>
      <c r="D13" s="99">
        <v>14666</v>
      </c>
      <c r="E13" s="99">
        <v>11655</v>
      </c>
      <c r="F13" s="99">
        <v>10771</v>
      </c>
      <c r="G13" s="100">
        <v>11497</v>
      </c>
      <c r="H13" s="42">
        <f>H11*Assumptions!L7</f>
        <v>11997.441079999999</v>
      </c>
      <c r="I13" s="42">
        <f>I11*Assumptions!M7</f>
        <v>12906.41556096</v>
      </c>
      <c r="J13" s="42">
        <f>J11*Assumptions!N7</f>
        <v>13335.438378631248</v>
      </c>
      <c r="K13" s="42">
        <f>K11*Assumptions!O7</f>
        <v>13853.551424689649</v>
      </c>
      <c r="L13" s="51">
        <f>L11*Assumptions!P7</f>
        <v>14442.076266519342</v>
      </c>
    </row>
    <row r="14" spans="2:24" ht="15" customHeight="1" x14ac:dyDescent="0.2">
      <c r="B14" s="11" t="s">
        <v>33</v>
      </c>
      <c r="C14" s="99">
        <v>22671</v>
      </c>
      <c r="D14" s="99">
        <v>21540</v>
      </c>
      <c r="E14" s="99">
        <v>18533</v>
      </c>
      <c r="F14" s="99">
        <v>18882</v>
      </c>
      <c r="G14" s="100">
        <v>21277</v>
      </c>
      <c r="H14" s="42">
        <f>H11*Assumptions!L8</f>
        <v>23428.073919999999</v>
      </c>
      <c r="I14" s="42">
        <f>I11*Assumptions!M8</f>
        <v>25459.921321425001</v>
      </c>
      <c r="J14" s="42">
        <f>J11*Assumptions!N8</f>
        <v>26670.876757262497</v>
      </c>
      <c r="K14" s="42">
        <f>K11*Assumptions!O8</f>
        <v>27594.472349991578</v>
      </c>
      <c r="L14" s="51">
        <f>L11*Assumptions!P8</f>
        <v>28705.855295180419</v>
      </c>
    </row>
    <row r="15" spans="2:24" ht="15" customHeight="1" x14ac:dyDescent="0.2">
      <c r="B15" s="11" t="s">
        <v>34</v>
      </c>
      <c r="C15" s="99">
        <v>20238</v>
      </c>
      <c r="D15" s="99">
        <v>21607</v>
      </c>
      <c r="E15" s="99">
        <v>21311</v>
      </c>
      <c r="F15" s="99">
        <v>20818</v>
      </c>
      <c r="G15" s="100">
        <v>23470</v>
      </c>
      <c r="H15" s="42">
        <f>H11*Assumptions!L9</f>
        <v>25034.030599999998</v>
      </c>
      <c r="I15" s="42">
        <f>I11*Assumptions!M9</f>
        <v>27022.807580760003</v>
      </c>
      <c r="J15" s="42">
        <f>J11*Assumptions!N9</f>
        <v>27577.686567009423</v>
      </c>
      <c r="K15" s="42">
        <f>K11*Assumptions!O9</f>
        <v>29283.929840807392</v>
      </c>
      <c r="L15" s="51">
        <f>L11*Assumptions!P9</f>
        <v>31083.151799957268</v>
      </c>
      <c r="N15" s="38"/>
      <c r="O15" s="576" t="s">
        <v>10</v>
      </c>
      <c r="P15" s="555"/>
      <c r="Q15" s="555"/>
      <c r="R15" s="555"/>
      <c r="S15" s="556"/>
      <c r="T15" s="555" t="s">
        <v>35</v>
      </c>
      <c r="U15" s="555"/>
      <c r="V15" s="555"/>
      <c r="W15" s="555"/>
      <c r="X15" s="556"/>
    </row>
    <row r="16" spans="2:24" ht="15" customHeight="1" x14ac:dyDescent="0.2">
      <c r="B16" s="11" t="s">
        <v>36</v>
      </c>
      <c r="C16" s="99">
        <v>0</v>
      </c>
      <c r="D16" s="99">
        <v>477</v>
      </c>
      <c r="E16" s="99">
        <v>-25</v>
      </c>
      <c r="F16" s="99">
        <v>0</v>
      </c>
      <c r="G16" s="100">
        <v>0</v>
      </c>
      <c r="H16" s="99">
        <v>0</v>
      </c>
      <c r="I16" s="99">
        <v>0</v>
      </c>
      <c r="J16" s="99">
        <v>0</v>
      </c>
      <c r="K16" s="99">
        <v>0</v>
      </c>
      <c r="L16" s="248">
        <v>0</v>
      </c>
      <c r="N16" s="583" t="s">
        <v>37</v>
      </c>
      <c r="O16" s="578" t="s">
        <v>13</v>
      </c>
      <c r="P16" s="578" t="s">
        <v>14</v>
      </c>
      <c r="Q16" s="578" t="s">
        <v>15</v>
      </c>
      <c r="R16" s="578" t="s">
        <v>16</v>
      </c>
      <c r="S16" s="579" t="s">
        <v>17</v>
      </c>
      <c r="T16" s="584" t="s">
        <v>18</v>
      </c>
      <c r="U16" s="580" t="s">
        <v>19</v>
      </c>
      <c r="V16" s="580" t="s">
        <v>20</v>
      </c>
      <c r="W16" s="580" t="s">
        <v>21</v>
      </c>
      <c r="X16" s="581" t="s">
        <v>22</v>
      </c>
    </row>
    <row r="17" spans="2:24" ht="15" customHeight="1" x14ac:dyDescent="0.2">
      <c r="B17" s="11" t="s">
        <v>38</v>
      </c>
      <c r="C17" s="99">
        <v>0</v>
      </c>
      <c r="D17" s="99">
        <v>1087</v>
      </c>
      <c r="E17" s="99">
        <v>0</v>
      </c>
      <c r="F17" s="99">
        <v>0</v>
      </c>
      <c r="G17" s="100">
        <v>278</v>
      </c>
      <c r="H17" s="99">
        <v>0</v>
      </c>
      <c r="I17" s="99">
        <v>0</v>
      </c>
      <c r="J17" s="99">
        <v>0</v>
      </c>
      <c r="K17" s="99">
        <v>0</v>
      </c>
      <c r="L17" s="248">
        <v>0</v>
      </c>
      <c r="N17" s="11" t="s">
        <v>39</v>
      </c>
      <c r="O17" s="143">
        <f>Assumptions!C5</f>
        <v>0</v>
      </c>
      <c r="P17" s="143">
        <f>Assumptions!D5</f>
        <v>5.0609056177080301E-2</v>
      </c>
      <c r="Q17" s="143">
        <f>Assumptions!E5</f>
        <v>3.127700862645337E-2</v>
      </c>
      <c r="R17" s="143">
        <f>Assumptions!F5</f>
        <v>4.6441390869847096E-2</v>
      </c>
      <c r="S17" s="141">
        <f>Assumptions!G5</f>
        <v>7.7487986944301729E-2</v>
      </c>
      <c r="T17" s="143">
        <f>Assumptions!L5</f>
        <v>7.9510419880515062E-2</v>
      </c>
      <c r="U17" s="143">
        <f>Assumptions!M5</f>
        <v>7.6120042631707824E-2</v>
      </c>
      <c r="V17" s="143">
        <f>Assumptions!N5</f>
        <v>6.4384383014166296E-2</v>
      </c>
      <c r="W17" s="143">
        <f>Assumptions!O5</f>
        <v>6.1391487856011701E-2</v>
      </c>
      <c r="X17" s="141">
        <f>Assumptions!P5</f>
        <v>6.074200765751378E-2</v>
      </c>
    </row>
    <row r="18" spans="2:24" ht="15" customHeight="1" thickBot="1" x14ac:dyDescent="0.25">
      <c r="B18" s="11" t="s">
        <v>40</v>
      </c>
      <c r="C18" s="101">
        <v>16383</v>
      </c>
      <c r="D18" s="101">
        <v>13651</v>
      </c>
      <c r="E18" s="101">
        <v>12818</v>
      </c>
      <c r="F18" s="101">
        <v>12919</v>
      </c>
      <c r="G18" s="102">
        <v>13508</v>
      </c>
      <c r="H18" s="93">
        <f>H11*Assumptions!L10</f>
        <v>15965.098760000001</v>
      </c>
      <c r="I18" s="93">
        <f>I11*Assumptions!M10</f>
        <v>16233.85082277</v>
      </c>
      <c r="J18" s="93">
        <f>J11*Assumptions!N10</f>
        <v>16749.310603560847</v>
      </c>
      <c r="K18" s="93">
        <f>K11*Assumptions!O10</f>
        <v>17570.357904484434</v>
      </c>
      <c r="L18" s="96">
        <f>L11*Assumptions!P10</f>
        <v>18305.183086781715</v>
      </c>
      <c r="N18" s="11" t="s">
        <v>41</v>
      </c>
      <c r="O18" s="143">
        <f>Assumptions!C6</f>
        <v>0</v>
      </c>
      <c r="P18" s="143">
        <f>Assumptions!D6</f>
        <v>-6.8274295414263962E-3</v>
      </c>
      <c r="Q18" s="143">
        <f>Assumptions!E6</f>
        <v>-1.2730768747407976E-2</v>
      </c>
      <c r="R18" s="143">
        <f>Assumptions!F6</f>
        <v>3.6177092084829041E-2</v>
      </c>
      <c r="S18" s="142">
        <f>Assumptions!G6</f>
        <v>8.4877149877149879E-2</v>
      </c>
      <c r="T18" s="143">
        <f>Assumptions!L6</f>
        <v>6.9744193683543107E-2</v>
      </c>
      <c r="U18" s="143">
        <f>Assumptions!M6</f>
        <v>6.7359623106396718E-2</v>
      </c>
      <c r="V18" s="143">
        <f>Assumptions!N6</f>
        <v>5.8038836206718444E-2</v>
      </c>
      <c r="W18" s="143">
        <f>Assumptions!O6</f>
        <v>5.5744252549284619E-2</v>
      </c>
      <c r="X18" s="142">
        <f>Assumptions!P6</f>
        <v>5.5352021743777007E-2</v>
      </c>
    </row>
    <row r="19" spans="2:24" ht="15" customHeight="1" x14ac:dyDescent="0.2">
      <c r="B19" s="15" t="s">
        <v>42</v>
      </c>
      <c r="C19" s="112">
        <f>SUM(C13:C18)</f>
        <v>73226</v>
      </c>
      <c r="D19" s="112">
        <f t="shared" ref="D19:L19" si="1">SUM(D13:D18)</f>
        <v>73028</v>
      </c>
      <c r="E19" s="112">
        <f t="shared" si="1"/>
        <v>64292</v>
      </c>
      <c r="F19" s="112">
        <f t="shared" si="1"/>
        <v>63390</v>
      </c>
      <c r="G19" s="113">
        <f t="shared" si="1"/>
        <v>70030</v>
      </c>
      <c r="H19" s="112">
        <f t="shared" si="1"/>
        <v>76424.644360000006</v>
      </c>
      <c r="I19" s="112">
        <f t="shared" si="1"/>
        <v>81622.995285915007</v>
      </c>
      <c r="J19" s="112">
        <f t="shared" si="1"/>
        <v>84333.312306464024</v>
      </c>
      <c r="K19" s="112">
        <f t="shared" si="1"/>
        <v>88302.311519973053</v>
      </c>
      <c r="L19" s="113">
        <f t="shared" si="1"/>
        <v>92536.26644843875</v>
      </c>
      <c r="N19" s="11" t="s">
        <v>43</v>
      </c>
      <c r="O19" s="143">
        <f>Assumptions!C7</f>
        <v>0.17391847025637186</v>
      </c>
      <c r="P19" s="143">
        <f>Assumptions!D7</f>
        <v>0.18431338050294704</v>
      </c>
      <c r="Q19" s="143">
        <f>Assumptions!E7</f>
        <v>0.14836172000305506</v>
      </c>
      <c r="R19" s="143">
        <f>Assumptions!F7</f>
        <v>0.13232186732186732</v>
      </c>
      <c r="S19" s="142">
        <f>Assumptions!G7</f>
        <v>0.13019058080150381</v>
      </c>
      <c r="T19" s="143">
        <f>Assumptions!L7</f>
        <v>0.127</v>
      </c>
      <c r="U19" s="143">
        <f>Assumptions!M7</f>
        <v>0.128</v>
      </c>
      <c r="V19" s="143">
        <f>Assumptions!N7</f>
        <v>0.125</v>
      </c>
      <c r="W19" s="143">
        <f>Assumptions!O7</f>
        <v>0.123</v>
      </c>
      <c r="X19" s="142">
        <f>Assumptions!P7</f>
        <v>0.1215</v>
      </c>
    </row>
    <row r="20" spans="2:24" ht="15" customHeight="1" x14ac:dyDescent="0.2">
      <c r="B20" s="15" t="s">
        <v>44</v>
      </c>
      <c r="C20" s="112">
        <f>C11-C19</f>
        <v>6892</v>
      </c>
      <c r="D20" s="112">
        <f>D11-D19</f>
        <v>6543</v>
      </c>
      <c r="E20" s="112">
        <f>E11-E19</f>
        <v>14266</v>
      </c>
      <c r="F20" s="112">
        <f>F11-F19</f>
        <v>18010</v>
      </c>
      <c r="G20" s="113">
        <f>G11-G19</f>
        <v>18279</v>
      </c>
      <c r="H20" s="112">
        <f t="shared" ref="H20:L20" si="2">H11-H19</f>
        <v>18043.395639999988</v>
      </c>
      <c r="I20" s="112">
        <f t="shared" si="2"/>
        <v>19208.376284084996</v>
      </c>
      <c r="J20" s="112">
        <f t="shared" si="2"/>
        <v>22350.194722585962</v>
      </c>
      <c r="K20" s="112">
        <f t="shared" si="2"/>
        <v>24328.187867747678</v>
      </c>
      <c r="L20" s="113">
        <f t="shared" si="2"/>
        <v>26328.558790403564</v>
      </c>
      <c r="N20" s="11" t="s">
        <v>45</v>
      </c>
      <c r="O20" s="143">
        <f>Assumptions!C8</f>
        <v>0.28297011907436531</v>
      </c>
      <c r="P20" s="143">
        <f>Assumptions!D8</f>
        <v>0.27070163753126136</v>
      </c>
      <c r="Q20" s="143">
        <f>Assumptions!E8</f>
        <v>0.23591486544973142</v>
      </c>
      <c r="R20" s="143">
        <f>Assumptions!F8</f>
        <v>0.23196560196560195</v>
      </c>
      <c r="S20" s="143">
        <f>Assumptions!G8</f>
        <v>0.24093806973241685</v>
      </c>
      <c r="T20" s="143">
        <f>Assumptions!H8</f>
        <v>0</v>
      </c>
      <c r="U20" s="143">
        <f>Assumptions!M8</f>
        <v>0.2525</v>
      </c>
      <c r="V20" s="143">
        <f>Assumptions!N8</f>
        <v>0.25</v>
      </c>
      <c r="W20" s="143">
        <f>Assumptions!O8</f>
        <v>0.245</v>
      </c>
      <c r="X20" s="142">
        <f>Assumptions!P8</f>
        <v>0.24149999999999999</v>
      </c>
    </row>
    <row r="21" spans="2:24" ht="15" customHeight="1" x14ac:dyDescent="0.2">
      <c r="B21" s="11" t="s">
        <v>46</v>
      </c>
      <c r="C21" s="99">
        <v>-3342</v>
      </c>
      <c r="D21" s="99">
        <v>-3364</v>
      </c>
      <c r="E21" s="99">
        <v>-3335</v>
      </c>
      <c r="F21" s="99">
        <v>-3411</v>
      </c>
      <c r="G21" s="100">
        <v>-3774</v>
      </c>
      <c r="H21" s="42">
        <f ca="1">-'Debt Schedule'!D636+'Debt Schedule'!D645</f>
        <v>-2034.8763093484047</v>
      </c>
      <c r="I21" s="42">
        <f ca="1">-'Debt Schedule'!E636+'Debt Schedule'!E645</f>
        <v>-1400.3891073138357</v>
      </c>
      <c r="J21" s="42">
        <f ca="1">-'Debt Schedule'!F636+'Debt Schedule'!F645</f>
        <v>-135.69274192226885</v>
      </c>
      <c r="K21" s="42">
        <f ca="1">-'Debt Schedule'!G636+'Debt Schedule'!G645</f>
        <v>1267.9983923325281</v>
      </c>
      <c r="L21" s="42">
        <f ca="1">-'Debt Schedule'!H636+'Debt Schedule'!H645</f>
        <v>2754.1537918202184</v>
      </c>
      <c r="N21" s="11" t="s">
        <v>47</v>
      </c>
      <c r="O21" s="143">
        <f>Assumptions!C9</f>
        <v>0.2526024114431214</v>
      </c>
      <c r="P21" s="143">
        <f>Assumptions!D9</f>
        <v>0.27154365283834564</v>
      </c>
      <c r="Q21" s="143">
        <f>Assumptions!E9</f>
        <v>0.27127727284299497</v>
      </c>
      <c r="R21" s="143">
        <f>Assumptions!F9</f>
        <v>0.25574938574938577</v>
      </c>
      <c r="S21" s="142">
        <f>Assumptions!G9</f>
        <v>0.26577132568594369</v>
      </c>
      <c r="T21" s="143">
        <f>Assumptions!L9</f>
        <v>0.26500000000000001</v>
      </c>
      <c r="U21" s="143">
        <f>Assumptions!M9</f>
        <v>0.26800000000000002</v>
      </c>
      <c r="V21" s="143">
        <f>Assumptions!N9</f>
        <v>0.25850000000000001</v>
      </c>
      <c r="W21" s="143">
        <f>Assumptions!O9</f>
        <v>0.26</v>
      </c>
      <c r="X21" s="142">
        <f>Assumptions!P9</f>
        <v>0.26150000000000001</v>
      </c>
    </row>
    <row r="22" spans="2:24" ht="15" customHeight="1" thickBot="1" x14ac:dyDescent="0.25">
      <c r="B22" s="11" t="s">
        <v>48</v>
      </c>
      <c r="C22" s="103">
        <v>-199</v>
      </c>
      <c r="D22" s="103">
        <v>-33</v>
      </c>
      <c r="E22" s="103">
        <v>68</v>
      </c>
      <c r="F22" s="103">
        <v>113</v>
      </c>
      <c r="G22" s="104">
        <v>-224</v>
      </c>
      <c r="H22" s="93">
        <f>H11*Assumptions!L11</f>
        <v>-47.234020000000001</v>
      </c>
      <c r="I22" s="93">
        <f>I11*Assumptions!M11</f>
        <v>-50.415685785000001</v>
      </c>
      <c r="J22" s="93">
        <f>J11*Assumptions!N11</f>
        <v>-53.341753514524996</v>
      </c>
      <c r="K22" s="93">
        <f>K11*Assumptions!O11</f>
        <v>-56.315249693860366</v>
      </c>
      <c r="L22" s="96">
        <f>L11*Assumptions!P11</f>
        <v>-59.432412619421157</v>
      </c>
      <c r="N22" s="11" t="s">
        <v>49</v>
      </c>
      <c r="O22" s="143">
        <f>Assumptions!C10</f>
        <v>0.20448588332209991</v>
      </c>
      <c r="P22" s="143">
        <f>Assumptions!D10</f>
        <v>0.17155747697025298</v>
      </c>
      <c r="Q22" s="143">
        <f>Assumptions!E10</f>
        <v>0.16316606838259629</v>
      </c>
      <c r="R22" s="143">
        <f>Assumptions!F10</f>
        <v>0.1587100737100737</v>
      </c>
      <c r="S22" s="142">
        <f>Assumptions!G10</f>
        <v>0.15296289166449625</v>
      </c>
      <c r="T22" s="143">
        <f>Assumptions!L10</f>
        <v>0.16900000000000001</v>
      </c>
      <c r="U22" s="143">
        <f>Assumptions!M10</f>
        <v>0.161</v>
      </c>
      <c r="V22" s="143">
        <f>Assumptions!N10</f>
        <v>0.157</v>
      </c>
      <c r="W22" s="143">
        <f>Assumptions!O10</f>
        <v>0.156</v>
      </c>
      <c r="X22" s="142">
        <f>Assumptions!P10</f>
        <v>0.154</v>
      </c>
    </row>
    <row r="23" spans="2:24" ht="15" customHeight="1" x14ac:dyDescent="0.2">
      <c r="B23" s="15" t="s">
        <v>50</v>
      </c>
      <c r="C23" s="91">
        <f>SUM(C20:C22)</f>
        <v>3351</v>
      </c>
      <c r="D23" s="91">
        <f t="shared" ref="D23:G23" si="3">SUM(D20:D22)</f>
        <v>3146</v>
      </c>
      <c r="E23" s="91">
        <f t="shared" si="3"/>
        <v>10999</v>
      </c>
      <c r="F23" s="91">
        <f t="shared" si="3"/>
        <v>14712</v>
      </c>
      <c r="G23" s="92">
        <f t="shared" si="3"/>
        <v>14281</v>
      </c>
      <c r="H23" s="91">
        <f t="shared" ref="H23" ca="1" si="4">SUM(H20:H22)</f>
        <v>15961.285310651583</v>
      </c>
      <c r="I23" s="91">
        <f t="shared" ref="I23" ca="1" si="5">SUM(I20:I22)</f>
        <v>17757.57149098616</v>
      </c>
      <c r="J23" s="91">
        <f t="shared" ref="J23" ca="1" si="6">SUM(J20:J22)</f>
        <v>22161.160227149168</v>
      </c>
      <c r="K23" s="91">
        <f t="shared" ref="K23" ca="1" si="7">SUM(K20:K22)</f>
        <v>25539.871010386345</v>
      </c>
      <c r="L23" s="92">
        <f t="shared" ref="L23" ca="1" si="8">SUM(L20:L22)</f>
        <v>29023.280169604361</v>
      </c>
      <c r="N23" s="11" t="s">
        <v>48</v>
      </c>
      <c r="O23" s="143">
        <f>Assumptions!C11</f>
        <v>-2.4838363413964403E-3</v>
      </c>
      <c r="P23" s="143">
        <f>Assumptions!D11</f>
        <v>-4.1472395722059546E-4</v>
      </c>
      <c r="Q23" s="143">
        <f>Assumptions!E11</f>
        <v>8.6560248478830925E-4</v>
      </c>
      <c r="R23" s="143">
        <f>Assumptions!F11</f>
        <v>1.3882063882063882E-3</v>
      </c>
      <c r="S23" s="142">
        <f>Assumptions!G11</f>
        <v>-2.5365478037346137E-3</v>
      </c>
      <c r="T23" s="143">
        <f>Assumptions!L11</f>
        <v>-5.0000000000000001E-4</v>
      </c>
      <c r="U23" s="143">
        <f>Assumptions!M11</f>
        <v>-5.0000000000000001E-4</v>
      </c>
      <c r="V23" s="143">
        <f>Assumptions!N11</f>
        <v>-5.0000000000000001E-4</v>
      </c>
      <c r="W23" s="143">
        <f>Assumptions!O11</f>
        <v>-5.0000000000000001E-4</v>
      </c>
      <c r="X23" s="142">
        <f>Assumptions!P11</f>
        <v>-5.0000000000000001E-4</v>
      </c>
    </row>
    <row r="24" spans="2:24" ht="15" customHeight="1" thickBot="1" x14ac:dyDescent="0.25">
      <c r="B24" s="11" t="s">
        <v>51</v>
      </c>
      <c r="C24" s="101">
        <v>-327</v>
      </c>
      <c r="D24" s="101">
        <v>-556</v>
      </c>
      <c r="E24" s="101">
        <v>-2682</v>
      </c>
      <c r="F24" s="101">
        <v>-3373</v>
      </c>
      <c r="G24" s="102">
        <v>-3289</v>
      </c>
      <c r="H24" s="35">
        <f ca="1">H23*Assumptions!L12</f>
        <v>-1755.7413841716741</v>
      </c>
      <c r="I24" s="35">
        <f ca="1">I23*Assumptions!M12</f>
        <v>-4439.39287274654</v>
      </c>
      <c r="J24" s="35">
        <f ca="1">J23*Assumptions!N12</f>
        <v>-4986.2610511085632</v>
      </c>
      <c r="K24" s="35">
        <f ca="1">K23*Assumptions!O12</f>
        <v>-5695.391235316155</v>
      </c>
      <c r="L24" s="280">
        <f ca="1">L23*Assumptions!P12</f>
        <v>-6675.3544390090028</v>
      </c>
      <c r="N24" s="13" t="s">
        <v>52</v>
      </c>
      <c r="O24" s="144">
        <f>Assumptions!C12</f>
        <v>-9.7582811101163833E-2</v>
      </c>
      <c r="P24" s="144">
        <f>Assumptions!D12</f>
        <v>-0.17673235855054037</v>
      </c>
      <c r="Q24" s="144">
        <f>Assumptions!E12</f>
        <v>-0.24384034912264752</v>
      </c>
      <c r="R24" s="144">
        <f>Assumptions!F12</f>
        <v>-0.22926862425231104</v>
      </c>
      <c r="S24" s="145">
        <f>Assumptions!G12</f>
        <v>-0.2303060009803235</v>
      </c>
      <c r="T24" s="144">
        <f>Assumptions!L12</f>
        <v>-0.11</v>
      </c>
      <c r="U24" s="144">
        <f>Assumptions!M12</f>
        <v>-0.25</v>
      </c>
      <c r="V24" s="144">
        <f>Assumptions!N12</f>
        <v>-0.22500000000000001</v>
      </c>
      <c r="W24" s="144">
        <f>Assumptions!O12</f>
        <v>-0.223</v>
      </c>
      <c r="X24" s="145">
        <f>Assumptions!P12</f>
        <v>-0.23</v>
      </c>
    </row>
    <row r="25" spans="2:24" ht="15" customHeight="1" x14ac:dyDescent="0.2">
      <c r="B25" s="14" t="s">
        <v>53</v>
      </c>
      <c r="C25" s="9">
        <f>SUM(C23:C24)</f>
        <v>3024</v>
      </c>
      <c r="D25" s="9">
        <f t="shared" ref="D25:G25" si="9">SUM(D23:D24)</f>
        <v>2590</v>
      </c>
      <c r="E25" s="9">
        <f t="shared" si="9"/>
        <v>8317</v>
      </c>
      <c r="F25" s="9">
        <f t="shared" si="9"/>
        <v>11339</v>
      </c>
      <c r="G25" s="94">
        <f t="shared" si="9"/>
        <v>10992</v>
      </c>
      <c r="H25" s="9">
        <f t="shared" ref="H25" ca="1" si="10">SUM(H23:H24)</f>
        <v>14205.54392647991</v>
      </c>
      <c r="I25" s="9">
        <f t="shared" ref="I25" ca="1" si="11">SUM(I23:I24)</f>
        <v>13318.178618239621</v>
      </c>
      <c r="J25" s="9">
        <f t="shared" ref="J25" ca="1" si="12">SUM(J23:J24)</f>
        <v>17174.899176040606</v>
      </c>
      <c r="K25" s="9">
        <f t="shared" ref="K25" ca="1" si="13">SUM(K23:K24)</f>
        <v>19844.479775070191</v>
      </c>
      <c r="L25" s="94">
        <f t="shared" ref="L25" ca="1" si="14">SUM(L23:L24)</f>
        <v>22347.925730595358</v>
      </c>
    </row>
    <row r="27" spans="2:24" x14ac:dyDescent="0.2">
      <c r="C27" s="97"/>
      <c r="D27" s="97"/>
      <c r="E27" s="97"/>
      <c r="F27" s="97"/>
      <c r="G27" s="97"/>
      <c r="H27" s="98"/>
    </row>
    <row r="28" spans="2:24" x14ac:dyDescent="0.2">
      <c r="C28" s="576" t="s">
        <v>10</v>
      </c>
      <c r="D28" s="555"/>
      <c r="E28" s="555"/>
      <c r="F28" s="555"/>
      <c r="G28" s="556"/>
      <c r="H28" s="555" t="s">
        <v>35</v>
      </c>
      <c r="I28" s="555"/>
      <c r="J28" s="555"/>
      <c r="K28" s="555"/>
      <c r="L28" s="556"/>
    </row>
    <row r="29" spans="2:24" x14ac:dyDescent="0.2">
      <c r="B29" s="582" t="s">
        <v>54</v>
      </c>
      <c r="C29" s="577" t="s">
        <v>13</v>
      </c>
      <c r="D29" s="578" t="s">
        <v>14</v>
      </c>
      <c r="E29" s="578" t="s">
        <v>15</v>
      </c>
      <c r="F29" s="578" t="s">
        <v>16</v>
      </c>
      <c r="G29" s="579" t="s">
        <v>17</v>
      </c>
      <c r="H29" s="580" t="s">
        <v>18</v>
      </c>
      <c r="I29" s="580" t="s">
        <v>19</v>
      </c>
      <c r="J29" s="580" t="s">
        <v>20</v>
      </c>
      <c r="K29" s="580" t="s">
        <v>21</v>
      </c>
      <c r="L29" s="581" t="s">
        <v>22</v>
      </c>
    </row>
    <row r="30" spans="2:24" x14ac:dyDescent="0.2">
      <c r="B30" s="11" t="s">
        <v>24</v>
      </c>
      <c r="C30" s="99">
        <v>42562</v>
      </c>
      <c r="D30" s="99">
        <v>45919</v>
      </c>
      <c r="E30" s="99">
        <v>48692</v>
      </c>
      <c r="F30" s="99">
        <v>52340</v>
      </c>
      <c r="G30" s="300">
        <v>57932</v>
      </c>
      <c r="H30" s="42">
        <f>G30*(1+H46)</f>
        <v>63725.200000000004</v>
      </c>
      <c r="I30" s="42">
        <f t="shared" ref="I30:L30" si="15">H30*(1+I46)</f>
        <v>69842.819200000013</v>
      </c>
      <c r="J30" s="42">
        <f t="shared" si="15"/>
        <v>75430.244736000022</v>
      </c>
      <c r="K30" s="42">
        <f t="shared" si="15"/>
        <v>81087.513091200017</v>
      </c>
      <c r="L30" s="95">
        <f t="shared" si="15"/>
        <v>87006.901546857611</v>
      </c>
      <c r="N30" s="17"/>
    </row>
    <row r="31" spans="2:24" x14ac:dyDescent="0.2">
      <c r="B31" s="11" t="s">
        <v>25</v>
      </c>
      <c r="C31" s="99">
        <v>9733</v>
      </c>
      <c r="D31" s="99">
        <v>9857</v>
      </c>
      <c r="E31" s="99">
        <v>9767</v>
      </c>
      <c r="F31" s="99">
        <v>10399</v>
      </c>
      <c r="G31" s="100">
        <v>10497</v>
      </c>
      <c r="H31" s="42">
        <f t="shared" ref="H31:L31" si="16">G31*(1+H47)</f>
        <v>10287.06</v>
      </c>
      <c r="I31" s="42">
        <f t="shared" si="16"/>
        <v>9978.4481999999989</v>
      </c>
      <c r="J31" s="42">
        <f t="shared" si="16"/>
        <v>9679.0947539999979</v>
      </c>
      <c r="K31" s="42">
        <f t="shared" si="16"/>
        <v>9388.7219113799983</v>
      </c>
      <c r="L31" s="95">
        <f t="shared" si="16"/>
        <v>9107.0602540385989</v>
      </c>
      <c r="N31" s="42"/>
    </row>
    <row r="32" spans="2:24" ht="16" thickBot="1" x14ac:dyDescent="0.25">
      <c r="B32" s="11" t="s">
        <v>55</v>
      </c>
      <c r="C32" s="101">
        <v>6074</v>
      </c>
      <c r="D32" s="101">
        <v>5547</v>
      </c>
      <c r="E32" s="101">
        <v>4782</v>
      </c>
      <c r="F32" s="101">
        <v>3439</v>
      </c>
      <c r="G32" s="102">
        <v>2877</v>
      </c>
      <c r="H32" s="295">
        <f t="shared" ref="H32:L32" si="17">G32*(1+H48)</f>
        <v>2963.31</v>
      </c>
      <c r="I32" s="295">
        <f t="shared" si="17"/>
        <v>3013.6862699999997</v>
      </c>
      <c r="J32" s="295">
        <f t="shared" si="17"/>
        <v>3058.8915640499995</v>
      </c>
      <c r="K32" s="295">
        <f t="shared" si="17"/>
        <v>3104.7749375107492</v>
      </c>
      <c r="L32" s="296">
        <f t="shared" si="17"/>
        <v>3151.3465615734103</v>
      </c>
      <c r="M32" s="11"/>
    </row>
    <row r="33" spans="2:16" x14ac:dyDescent="0.2">
      <c r="B33" s="15" t="s">
        <v>56</v>
      </c>
      <c r="C33" s="293">
        <f>SUM(C30:C32)</f>
        <v>58369</v>
      </c>
      <c r="D33" s="293">
        <f t="shared" ref="D33:L33" si="18">SUM(D30:D32)</f>
        <v>61323</v>
      </c>
      <c r="E33" s="293">
        <f t="shared" si="18"/>
        <v>63241</v>
      </c>
      <c r="F33" s="293">
        <f t="shared" si="18"/>
        <v>66178</v>
      </c>
      <c r="G33" s="297">
        <f t="shared" si="18"/>
        <v>71306</v>
      </c>
      <c r="H33" s="293">
        <f t="shared" si="18"/>
        <v>76975.570000000007</v>
      </c>
      <c r="I33" s="293">
        <f t="shared" si="18"/>
        <v>82834.953670000017</v>
      </c>
      <c r="J33" s="293">
        <f t="shared" si="18"/>
        <v>88168.231054050018</v>
      </c>
      <c r="K33" s="293">
        <f t="shared" si="18"/>
        <v>93581.009940090764</v>
      </c>
      <c r="L33" s="297">
        <f t="shared" si="18"/>
        <v>99265.30836246963</v>
      </c>
      <c r="M33" s="11"/>
      <c r="N33" s="17"/>
      <c r="O33" s="17"/>
      <c r="P33" s="17"/>
    </row>
    <row r="34" spans="2:16" x14ac:dyDescent="0.2">
      <c r="B34" s="11" t="s">
        <v>57</v>
      </c>
      <c r="C34" s="99">
        <v>20727</v>
      </c>
      <c r="D34" s="99">
        <v>17130</v>
      </c>
      <c r="E34" s="99">
        <v>14138</v>
      </c>
      <c r="F34" s="99">
        <v>14263</v>
      </c>
      <c r="G34" s="100">
        <v>15972</v>
      </c>
      <c r="H34" s="42">
        <f t="shared" ref="H34:L34" si="19">G34*(1+H50)</f>
        <v>16451.16</v>
      </c>
      <c r="I34" s="42">
        <f t="shared" si="19"/>
        <v>16944.694800000001</v>
      </c>
      <c r="J34" s="42">
        <f t="shared" si="19"/>
        <v>17453.035644000003</v>
      </c>
      <c r="K34" s="42">
        <f t="shared" si="19"/>
        <v>17976.626713320005</v>
      </c>
      <c r="L34" s="95">
        <f t="shared" si="19"/>
        <v>18515.925514719605</v>
      </c>
      <c r="M34" s="11"/>
      <c r="N34" s="17"/>
    </row>
    <row r="35" spans="2:16" ht="16" thickBot="1" x14ac:dyDescent="0.25">
      <c r="B35" s="11" t="s">
        <v>29</v>
      </c>
      <c r="C35" s="101">
        <v>1022</v>
      </c>
      <c r="D35" s="101">
        <v>1118</v>
      </c>
      <c r="E35" s="101">
        <v>1179</v>
      </c>
      <c r="F35" s="101">
        <v>959</v>
      </c>
      <c r="G35" s="102">
        <v>1031</v>
      </c>
      <c r="H35" s="295">
        <f t="shared" ref="H35:L35" si="20">G35*(1+H51)</f>
        <v>1041.31</v>
      </c>
      <c r="I35" s="295">
        <f t="shared" si="20"/>
        <v>1051.7230999999999</v>
      </c>
      <c r="J35" s="295">
        <f t="shared" si="20"/>
        <v>1062.240331</v>
      </c>
      <c r="K35" s="295">
        <f t="shared" si="20"/>
        <v>1072.86273431</v>
      </c>
      <c r="L35" s="296">
        <f t="shared" si="20"/>
        <v>1083.5913616531</v>
      </c>
    </row>
    <row r="36" spans="2:16" x14ac:dyDescent="0.2">
      <c r="B36" s="14" t="s">
        <v>58</v>
      </c>
      <c r="C36" s="298">
        <f>SUM(C33:C35)</f>
        <v>80118</v>
      </c>
      <c r="D36" s="298">
        <f t="shared" ref="D36:L36" si="21">SUM(D33:D35)</f>
        <v>79571</v>
      </c>
      <c r="E36" s="298">
        <f t="shared" si="21"/>
        <v>78558</v>
      </c>
      <c r="F36" s="298">
        <f t="shared" si="21"/>
        <v>81400</v>
      </c>
      <c r="G36" s="299">
        <f t="shared" si="21"/>
        <v>88309</v>
      </c>
      <c r="H36" s="298">
        <f t="shared" si="21"/>
        <v>94468.040000000008</v>
      </c>
      <c r="I36" s="298">
        <f t="shared" si="21"/>
        <v>100831.37157000002</v>
      </c>
      <c r="J36" s="298">
        <f t="shared" si="21"/>
        <v>106683.50702905002</v>
      </c>
      <c r="K36" s="298">
        <f t="shared" si="21"/>
        <v>112630.49938772076</v>
      </c>
      <c r="L36" s="299">
        <f t="shared" si="21"/>
        <v>118864.82523884234</v>
      </c>
      <c r="N36" s="17"/>
    </row>
    <row r="37" spans="2:16" x14ac:dyDescent="0.2">
      <c r="B37" s="275"/>
      <c r="C37" s="293"/>
      <c r="D37" s="293"/>
      <c r="E37" s="293"/>
      <c r="F37" s="293"/>
      <c r="G37" s="293"/>
      <c r="H37" s="293"/>
      <c r="I37" s="293"/>
      <c r="J37" s="293"/>
      <c r="K37" s="293"/>
      <c r="L37" s="305"/>
      <c r="N37" s="17"/>
    </row>
    <row r="38" spans="2:16" x14ac:dyDescent="0.2">
      <c r="B38" s="302" t="s">
        <v>59</v>
      </c>
      <c r="C38" s="293"/>
      <c r="D38" s="293"/>
      <c r="E38" s="293"/>
      <c r="F38" s="293"/>
      <c r="G38" s="293"/>
      <c r="H38" s="293"/>
      <c r="I38" s="293"/>
      <c r="J38" s="293"/>
      <c r="K38" s="293"/>
      <c r="L38" s="293"/>
      <c r="N38" s="17"/>
    </row>
    <row r="39" spans="2:16" x14ac:dyDescent="0.2">
      <c r="B39" s="303" t="s">
        <v>60</v>
      </c>
      <c r="C39" s="293"/>
      <c r="D39" s="293"/>
      <c r="E39" s="293"/>
      <c r="F39" s="293"/>
      <c r="G39" s="293"/>
      <c r="H39" s="293"/>
      <c r="I39" s="293"/>
      <c r="J39" s="293"/>
      <c r="K39" s="293"/>
      <c r="L39" s="293"/>
    </row>
    <row r="40" spans="2:16" x14ac:dyDescent="0.2">
      <c r="B40" s="303" t="s">
        <v>61</v>
      </c>
      <c r="C40" s="293"/>
      <c r="D40" s="293"/>
      <c r="E40" s="293"/>
      <c r="F40" s="293"/>
      <c r="G40" s="293"/>
      <c r="H40" s="293"/>
      <c r="I40" s="293"/>
      <c r="J40" s="293"/>
      <c r="K40" s="293"/>
      <c r="L40" s="293"/>
    </row>
    <row r="41" spans="2:16" x14ac:dyDescent="0.2">
      <c r="B41" s="304" t="s">
        <v>62</v>
      </c>
      <c r="C41" s="293"/>
      <c r="D41" s="293"/>
      <c r="E41" s="293"/>
      <c r="F41" s="293"/>
      <c r="G41" s="293"/>
      <c r="H41" s="293"/>
      <c r="I41" s="293"/>
      <c r="J41" s="293"/>
      <c r="K41" s="293"/>
      <c r="L41" s="293"/>
    </row>
    <row r="43" spans="2:16" x14ac:dyDescent="0.2">
      <c r="B43" s="275" t="s">
        <v>63</v>
      </c>
    </row>
    <row r="44" spans="2:16" x14ac:dyDescent="0.2">
      <c r="B44" s="294" t="s">
        <v>61</v>
      </c>
      <c r="C44" s="114" t="s">
        <v>10</v>
      </c>
      <c r="D44" s="115"/>
      <c r="E44" s="115"/>
      <c r="F44" s="115"/>
      <c r="G44" s="115"/>
      <c r="H44" s="114" t="s">
        <v>35</v>
      </c>
      <c r="I44" s="115"/>
      <c r="J44" s="115"/>
      <c r="K44" s="115"/>
      <c r="L44" s="116"/>
    </row>
    <row r="45" spans="2:16" x14ac:dyDescent="0.2">
      <c r="B45" s="290" t="s">
        <v>64</v>
      </c>
      <c r="C45" s="117" t="s">
        <v>13</v>
      </c>
      <c r="D45" s="117" t="s">
        <v>14</v>
      </c>
      <c r="E45" s="117" t="s">
        <v>15</v>
      </c>
      <c r="F45" s="117" t="s">
        <v>16</v>
      </c>
      <c r="G45" s="117" t="s">
        <v>17</v>
      </c>
      <c r="H45" s="39" t="s">
        <v>18</v>
      </c>
      <c r="I45" s="40" t="s">
        <v>19</v>
      </c>
      <c r="J45" s="40" t="s">
        <v>20</v>
      </c>
      <c r="K45" s="40" t="s">
        <v>21</v>
      </c>
      <c r="L45" s="41" t="s">
        <v>22</v>
      </c>
    </row>
    <row r="46" spans="2:16" x14ac:dyDescent="0.2">
      <c r="B46" s="11" t="s">
        <v>24</v>
      </c>
      <c r="C46" s="288">
        <v>0</v>
      </c>
      <c r="D46" s="288">
        <f>(D30-C30)/C30</f>
        <v>7.88731732531366E-2</v>
      </c>
      <c r="E46" s="288">
        <f t="shared" ref="E46:G46" si="22">(E30-D30)/D30</f>
        <v>6.0388945752302969E-2</v>
      </c>
      <c r="F46" s="288">
        <f t="shared" si="22"/>
        <v>7.4919904707138746E-2</v>
      </c>
      <c r="G46" s="301">
        <f t="shared" si="22"/>
        <v>0.10683989300726023</v>
      </c>
      <c r="H46" s="288">
        <f t="shared" ref="H46:L48" si="23">IF($B$44="Bear",C56,IF($B$44="Base",C65,IF($B$44="Bull",C74)))</f>
        <v>0.1</v>
      </c>
      <c r="I46" s="288">
        <f t="shared" si="23"/>
        <v>9.6000000000000002E-2</v>
      </c>
      <c r="J46" s="288">
        <f t="shared" si="23"/>
        <v>0.08</v>
      </c>
      <c r="K46" s="288">
        <f t="shared" si="23"/>
        <v>7.4999999999999997E-2</v>
      </c>
      <c r="L46" s="291">
        <f t="shared" si="23"/>
        <v>7.2999999999999995E-2</v>
      </c>
    </row>
    <row r="47" spans="2:16" x14ac:dyDescent="0.2">
      <c r="B47" s="11" t="s">
        <v>25</v>
      </c>
      <c r="C47" s="288">
        <v>0</v>
      </c>
      <c r="D47" s="288">
        <f t="shared" ref="D47:G47" si="24">(D31-C31)/C31</f>
        <v>1.2740162334326517E-2</v>
      </c>
      <c r="E47" s="288">
        <f t="shared" si="24"/>
        <v>-9.1305671096682563E-3</v>
      </c>
      <c r="F47" s="288">
        <f t="shared" si="24"/>
        <v>6.4707689157366646E-2</v>
      </c>
      <c r="G47" s="291">
        <f t="shared" si="24"/>
        <v>9.4239830752957023E-3</v>
      </c>
      <c r="H47" s="288">
        <f t="shared" si="23"/>
        <v>-0.02</v>
      </c>
      <c r="I47" s="288">
        <f t="shared" si="23"/>
        <v>-0.03</v>
      </c>
      <c r="J47" s="288">
        <f t="shared" si="23"/>
        <v>-0.03</v>
      </c>
      <c r="K47" s="288">
        <f t="shared" si="23"/>
        <v>-0.03</v>
      </c>
      <c r="L47" s="291">
        <f t="shared" si="23"/>
        <v>-0.03</v>
      </c>
    </row>
    <row r="48" spans="2:16" x14ac:dyDescent="0.2">
      <c r="B48" s="11" t="s">
        <v>55</v>
      </c>
      <c r="C48" s="288">
        <v>0</v>
      </c>
      <c r="D48" s="288">
        <f t="shared" ref="D48:G48" si="25">(D32-C32)/C32</f>
        <v>-8.6763253210405011E-2</v>
      </c>
      <c r="E48" s="288">
        <f t="shared" si="25"/>
        <v>-0.13791238507301243</v>
      </c>
      <c r="F48" s="288">
        <f t="shared" si="25"/>
        <v>-0.280844834797156</v>
      </c>
      <c r="G48" s="291">
        <f t="shared" si="25"/>
        <v>-0.16341959872055831</v>
      </c>
      <c r="H48" s="288">
        <f t="shared" si="23"/>
        <v>0.03</v>
      </c>
      <c r="I48" s="288">
        <f t="shared" si="23"/>
        <v>1.7000000000000001E-2</v>
      </c>
      <c r="J48" s="288">
        <f t="shared" si="23"/>
        <v>1.4999999999999999E-2</v>
      </c>
      <c r="K48" s="288">
        <f t="shared" si="23"/>
        <v>1.4999999999999999E-2</v>
      </c>
      <c r="L48" s="291">
        <f t="shared" si="23"/>
        <v>1.4999999999999999E-2</v>
      </c>
    </row>
    <row r="49" spans="2:12" x14ac:dyDescent="0.2">
      <c r="B49" s="11" t="s">
        <v>56</v>
      </c>
      <c r="C49" s="288">
        <v>0</v>
      </c>
      <c r="D49" s="288">
        <f t="shared" ref="D49:G49" si="26">(D33-C33)/C33</f>
        <v>5.0609056177080301E-2</v>
      </c>
      <c r="E49" s="288">
        <f t="shared" si="26"/>
        <v>3.127700862645337E-2</v>
      </c>
      <c r="F49" s="288">
        <f t="shared" si="26"/>
        <v>4.6441390869847096E-2</v>
      </c>
      <c r="G49" s="291">
        <f t="shared" si="26"/>
        <v>7.7487986944301729E-2</v>
      </c>
      <c r="H49" s="288">
        <f>(H33-G33)/G33</f>
        <v>7.9510419880515062E-2</v>
      </c>
      <c r="I49" s="288">
        <f t="shared" ref="I49:L49" si="27">(I33-H33)/H33</f>
        <v>7.6120042631707824E-2</v>
      </c>
      <c r="J49" s="288">
        <f t="shared" si="27"/>
        <v>6.4384383014166296E-2</v>
      </c>
      <c r="K49" s="288">
        <f t="shared" si="27"/>
        <v>6.1391487856011701E-2</v>
      </c>
      <c r="L49" s="291">
        <f t="shared" si="27"/>
        <v>6.074200765751378E-2</v>
      </c>
    </row>
    <row r="50" spans="2:12" x14ac:dyDescent="0.2">
      <c r="B50" s="11" t="s">
        <v>57</v>
      </c>
      <c r="C50" s="288">
        <v>0</v>
      </c>
      <c r="D50" s="288">
        <f t="shared" ref="D50:G50" si="28">(D34-C34)/C34</f>
        <v>-0.17354175712838327</v>
      </c>
      <c r="E50" s="288">
        <f t="shared" si="28"/>
        <v>-0.17466433158201985</v>
      </c>
      <c r="F50" s="288">
        <f t="shared" si="28"/>
        <v>8.8414202857547038E-3</v>
      </c>
      <c r="G50" s="291">
        <f t="shared" si="28"/>
        <v>0.119820514618243</v>
      </c>
      <c r="H50" s="288">
        <f t="shared" ref="H50:L51" si="29">IF($B$44="Bear",C59,IF($B$44="Base",C68,IF($B$44="Bull",C77)))</f>
        <v>0.03</v>
      </c>
      <c r="I50" s="288">
        <f t="shared" si="29"/>
        <v>0.03</v>
      </c>
      <c r="J50" s="288">
        <f t="shared" si="29"/>
        <v>0.03</v>
      </c>
      <c r="K50" s="288">
        <f t="shared" si="29"/>
        <v>0.03</v>
      </c>
      <c r="L50" s="291">
        <f t="shared" si="29"/>
        <v>0.03</v>
      </c>
    </row>
    <row r="51" spans="2:12" x14ac:dyDescent="0.2">
      <c r="B51" s="11" t="s">
        <v>29</v>
      </c>
      <c r="C51" s="288">
        <v>0</v>
      </c>
      <c r="D51" s="288">
        <f t="shared" ref="D51:G51" si="30">(D35-C35)/C35</f>
        <v>9.393346379647749E-2</v>
      </c>
      <c r="E51" s="288">
        <f t="shared" si="30"/>
        <v>5.4561717352415023E-2</v>
      </c>
      <c r="F51" s="288">
        <f t="shared" si="30"/>
        <v>-0.18659881255301103</v>
      </c>
      <c r="G51" s="291">
        <f t="shared" si="30"/>
        <v>7.5078206465067784E-2</v>
      </c>
      <c r="H51" s="288">
        <f t="shared" si="29"/>
        <v>0.01</v>
      </c>
      <c r="I51" s="288">
        <f t="shared" si="29"/>
        <v>0.01</v>
      </c>
      <c r="J51" s="288">
        <f t="shared" si="29"/>
        <v>0.01</v>
      </c>
      <c r="K51" s="288">
        <f t="shared" si="29"/>
        <v>0.01</v>
      </c>
      <c r="L51" s="291">
        <f t="shared" si="29"/>
        <v>0.01</v>
      </c>
    </row>
    <row r="52" spans="2:12" x14ac:dyDescent="0.2">
      <c r="B52" s="13" t="s">
        <v>58</v>
      </c>
      <c r="C52" s="16"/>
      <c r="D52" s="289">
        <f>(D36-C36)/C36</f>
        <v>-6.8274295414263962E-3</v>
      </c>
      <c r="E52" s="289">
        <f t="shared" ref="E52:L52" si="31">(E36-D36)/D36</f>
        <v>-1.2730768747407976E-2</v>
      </c>
      <c r="F52" s="289">
        <f t="shared" si="31"/>
        <v>3.6177092084829041E-2</v>
      </c>
      <c r="G52" s="292">
        <f t="shared" si="31"/>
        <v>8.4877149877149879E-2</v>
      </c>
      <c r="H52" s="289">
        <f t="shared" si="31"/>
        <v>6.9744193683543107E-2</v>
      </c>
      <c r="I52" s="289">
        <f t="shared" si="31"/>
        <v>6.7359623106396718E-2</v>
      </c>
      <c r="J52" s="289">
        <f t="shared" si="31"/>
        <v>5.8038836206718444E-2</v>
      </c>
      <c r="K52" s="289">
        <f t="shared" si="31"/>
        <v>5.5744252549284619E-2</v>
      </c>
      <c r="L52" s="292">
        <f t="shared" si="31"/>
        <v>5.5352021743777007E-2</v>
      </c>
    </row>
    <row r="54" spans="2:12" x14ac:dyDescent="0.2">
      <c r="C54" s="114" t="s">
        <v>35</v>
      </c>
      <c r="D54" s="115"/>
      <c r="E54" s="115"/>
      <c r="F54" s="115"/>
      <c r="G54" s="116"/>
    </row>
    <row r="55" spans="2:12" x14ac:dyDescent="0.2">
      <c r="B55" s="290" t="s">
        <v>60</v>
      </c>
      <c r="C55" s="117" t="s">
        <v>18</v>
      </c>
      <c r="D55" s="117" t="s">
        <v>19</v>
      </c>
      <c r="E55" s="117" t="s">
        <v>20</v>
      </c>
      <c r="F55" s="117" t="s">
        <v>21</v>
      </c>
      <c r="G55" s="118" t="s">
        <v>22</v>
      </c>
    </row>
    <row r="56" spans="2:12" x14ac:dyDescent="0.2">
      <c r="B56" s="11" t="s">
        <v>24</v>
      </c>
      <c r="C56" s="288">
        <v>5.2999999999999999E-2</v>
      </c>
      <c r="D56" s="288">
        <v>5.5E-2</v>
      </c>
      <c r="E56" s="288">
        <v>5.2999999999999999E-2</v>
      </c>
      <c r="F56" s="288">
        <v>5.1999999999999998E-2</v>
      </c>
      <c r="G56" s="291">
        <v>5.1999999999999998E-2</v>
      </c>
    </row>
    <row r="57" spans="2:12" x14ac:dyDescent="0.2">
      <c r="B57" s="11" t="s">
        <v>25</v>
      </c>
      <c r="C57" s="288">
        <v>-4.7500000000000001E-2</v>
      </c>
      <c r="D57" s="288">
        <v>-4.2999999999999997E-2</v>
      </c>
      <c r="E57" s="288">
        <v>-0.04</v>
      </c>
      <c r="F57" s="288">
        <v>-0.03</v>
      </c>
      <c r="G57" s="291">
        <v>-2.8000000000000001E-2</v>
      </c>
      <c r="K57" s="17"/>
    </row>
    <row r="58" spans="2:12" x14ac:dyDescent="0.2">
      <c r="B58" s="11" t="s">
        <v>55</v>
      </c>
      <c r="C58" s="288">
        <v>1.4999999999999999E-2</v>
      </c>
      <c r="D58" s="288">
        <v>0.01</v>
      </c>
      <c r="E58" s="288">
        <v>7.4999999999999997E-3</v>
      </c>
      <c r="F58" s="288">
        <v>7.4999999999999997E-3</v>
      </c>
      <c r="G58" s="291">
        <v>7.4999999999999997E-3</v>
      </c>
      <c r="K58" s="17"/>
    </row>
    <row r="59" spans="2:12" x14ac:dyDescent="0.2">
      <c r="B59" s="11" t="s">
        <v>57</v>
      </c>
      <c r="C59" s="288">
        <v>0.01</v>
      </c>
      <c r="D59" s="288">
        <v>1.2999999999999999E-2</v>
      </c>
      <c r="E59" s="288">
        <v>1.4999999999999999E-2</v>
      </c>
      <c r="F59" s="288">
        <v>1.4999999999999999E-2</v>
      </c>
      <c r="G59" s="291">
        <v>1.4999999999999999E-2</v>
      </c>
      <c r="K59" s="17"/>
    </row>
    <row r="60" spans="2:12" x14ac:dyDescent="0.2">
      <c r="B60" s="13" t="s">
        <v>29</v>
      </c>
      <c r="C60" s="289">
        <v>0.01</v>
      </c>
      <c r="D60" s="289">
        <v>5.0000000000000001E-3</v>
      </c>
      <c r="E60" s="289">
        <v>5.0000000000000001E-3</v>
      </c>
      <c r="F60" s="289">
        <v>5.0000000000000001E-3</v>
      </c>
      <c r="G60" s="292">
        <v>5.0000000000000001E-3</v>
      </c>
    </row>
    <row r="63" spans="2:12" x14ac:dyDescent="0.2">
      <c r="C63" s="114" t="s">
        <v>35</v>
      </c>
      <c r="D63" s="115"/>
      <c r="E63" s="115"/>
      <c r="F63" s="115"/>
      <c r="G63" s="116"/>
    </row>
    <row r="64" spans="2:12" x14ac:dyDescent="0.2">
      <c r="B64" s="290" t="s">
        <v>61</v>
      </c>
      <c r="C64" s="117" t="s">
        <v>18</v>
      </c>
      <c r="D64" s="117" t="s">
        <v>19</v>
      </c>
      <c r="E64" s="117" t="s">
        <v>20</v>
      </c>
      <c r="F64" s="117" t="s">
        <v>21</v>
      </c>
      <c r="G64" s="118" t="s">
        <v>22</v>
      </c>
    </row>
    <row r="65" spans="2:7" x14ac:dyDescent="0.2">
      <c r="B65" s="11" t="s">
        <v>24</v>
      </c>
      <c r="C65" s="288">
        <v>0.1</v>
      </c>
      <c r="D65" s="288">
        <v>9.6000000000000002E-2</v>
      </c>
      <c r="E65" s="288">
        <v>0.08</v>
      </c>
      <c r="F65" s="288">
        <v>7.4999999999999997E-2</v>
      </c>
      <c r="G65" s="301">
        <v>7.2999999999999995E-2</v>
      </c>
    </row>
    <row r="66" spans="2:7" x14ac:dyDescent="0.2">
      <c r="B66" s="11" t="s">
        <v>25</v>
      </c>
      <c r="C66" s="288">
        <v>-0.02</v>
      </c>
      <c r="D66" s="288">
        <v>-0.03</v>
      </c>
      <c r="E66" s="288">
        <v>-0.03</v>
      </c>
      <c r="F66" s="288">
        <v>-0.03</v>
      </c>
      <c r="G66" s="291">
        <v>-0.03</v>
      </c>
    </row>
    <row r="67" spans="2:7" x14ac:dyDescent="0.2">
      <c r="B67" s="11" t="s">
        <v>55</v>
      </c>
      <c r="C67" s="288">
        <v>0.03</v>
      </c>
      <c r="D67" s="288">
        <v>1.7000000000000001E-2</v>
      </c>
      <c r="E67" s="288">
        <v>1.4999999999999999E-2</v>
      </c>
      <c r="F67" s="288">
        <v>1.4999999999999999E-2</v>
      </c>
      <c r="G67" s="291">
        <v>1.4999999999999999E-2</v>
      </c>
    </row>
    <row r="68" spans="2:7" x14ac:dyDescent="0.2">
      <c r="B68" s="11" t="s">
        <v>57</v>
      </c>
      <c r="C68" s="288">
        <v>0.03</v>
      </c>
      <c r="D68" s="288">
        <v>0.03</v>
      </c>
      <c r="E68" s="288">
        <v>0.03</v>
      </c>
      <c r="F68" s="288">
        <v>0.03</v>
      </c>
      <c r="G68" s="291">
        <v>0.03</v>
      </c>
    </row>
    <row r="69" spans="2:7" x14ac:dyDescent="0.2">
      <c r="B69" s="13" t="s">
        <v>29</v>
      </c>
      <c r="C69" s="289">
        <v>0.01</v>
      </c>
      <c r="D69" s="289">
        <v>0.01</v>
      </c>
      <c r="E69" s="289">
        <v>0.01</v>
      </c>
      <c r="F69" s="289">
        <v>0.01</v>
      </c>
      <c r="G69" s="292">
        <v>0.01</v>
      </c>
    </row>
    <row r="70" spans="2:7" x14ac:dyDescent="0.2">
      <c r="C70" s="288"/>
      <c r="D70" s="288"/>
      <c r="E70" s="288"/>
      <c r="F70" s="288"/>
      <c r="G70" s="288"/>
    </row>
    <row r="72" spans="2:7" x14ac:dyDescent="0.2">
      <c r="C72" s="114" t="s">
        <v>35</v>
      </c>
      <c r="D72" s="115"/>
      <c r="E72" s="115"/>
      <c r="F72" s="115"/>
      <c r="G72" s="116"/>
    </row>
    <row r="73" spans="2:7" x14ac:dyDescent="0.2">
      <c r="B73" s="290" t="s">
        <v>62</v>
      </c>
      <c r="C73" s="117" t="s">
        <v>18</v>
      </c>
      <c r="D73" s="117" t="s">
        <v>19</v>
      </c>
      <c r="E73" s="117" t="s">
        <v>20</v>
      </c>
      <c r="F73" s="117" t="s">
        <v>21</v>
      </c>
      <c r="G73" s="118" t="s">
        <v>22</v>
      </c>
    </row>
    <row r="74" spans="2:7" x14ac:dyDescent="0.2">
      <c r="B74" s="11" t="s">
        <v>24</v>
      </c>
      <c r="C74" s="288">
        <v>0.14000000000000001</v>
      </c>
      <c r="D74" s="288">
        <v>0.13700000000000001</v>
      </c>
      <c r="E74" s="288">
        <v>0.128</v>
      </c>
      <c r="F74" s="288">
        <v>0.125</v>
      </c>
      <c r="G74" s="291">
        <v>0.125</v>
      </c>
    </row>
    <row r="75" spans="2:7" x14ac:dyDescent="0.2">
      <c r="B75" s="11" t="s">
        <v>25</v>
      </c>
      <c r="C75" s="288">
        <v>1.4999999999999999E-2</v>
      </c>
      <c r="D75" s="288">
        <v>1.7000000000000001E-2</v>
      </c>
      <c r="E75" s="288">
        <v>1.7999999999999999E-2</v>
      </c>
      <c r="F75" s="288">
        <v>1.9E-2</v>
      </c>
      <c r="G75" s="291">
        <v>1.9E-2</v>
      </c>
    </row>
    <row r="76" spans="2:7" x14ac:dyDescent="0.2">
      <c r="B76" s="11" t="s">
        <v>55</v>
      </c>
      <c r="C76" s="288">
        <v>0.04</v>
      </c>
      <c r="D76" s="288">
        <v>0.03</v>
      </c>
      <c r="E76" s="288">
        <v>2.5000000000000001E-2</v>
      </c>
      <c r="F76" s="288">
        <v>0.02</v>
      </c>
      <c r="G76" s="291">
        <v>0.02</v>
      </c>
    </row>
    <row r="77" spans="2:7" x14ac:dyDescent="0.2">
      <c r="B77" s="11" t="s">
        <v>57</v>
      </c>
      <c r="C77" s="288">
        <v>0.04</v>
      </c>
      <c r="D77" s="288">
        <v>3.5000000000000003E-2</v>
      </c>
      <c r="E77" s="288">
        <v>2.5000000000000001E-2</v>
      </c>
      <c r="F77" s="288">
        <v>2.5000000000000001E-2</v>
      </c>
      <c r="G77" s="291">
        <v>0.02</v>
      </c>
    </row>
    <row r="78" spans="2:7" x14ac:dyDescent="0.2">
      <c r="B78" s="13" t="s">
        <v>29</v>
      </c>
      <c r="C78" s="289">
        <v>0.02</v>
      </c>
      <c r="D78" s="289">
        <v>1.4999999999999999E-2</v>
      </c>
      <c r="E78" s="289">
        <v>1.4999999999999999E-2</v>
      </c>
      <c r="F78" s="289">
        <v>1.4999999999999999E-2</v>
      </c>
      <c r="G78" s="292">
        <v>1.4999999999999999E-2</v>
      </c>
    </row>
  </sheetData>
  <dataValidations count="1">
    <dataValidation type="list" allowBlank="1" showInputMessage="1" showErrorMessage="1" sqref="B44" xr:uid="{30DF1C24-C5DF-4B13-B77C-C87D1EAD47B5}">
      <formula1>$B$39:$B$41</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BC464-CBB1-44C5-9360-E13E75DA1790}">
  <dimension ref="A1:H661"/>
  <sheetViews>
    <sheetView showGridLines="0" topLeftCell="A543" zoomScale="87" workbookViewId="0">
      <selection activeCell="D642" sqref="D642"/>
    </sheetView>
  </sheetViews>
  <sheetFormatPr baseColWidth="10" defaultColWidth="8.6640625" defaultRowHeight="15" x14ac:dyDescent="0.2"/>
  <cols>
    <col min="2" max="2" width="42.33203125" bestFit="1" customWidth="1"/>
    <col min="3" max="8" width="12.6640625" customWidth="1"/>
  </cols>
  <sheetData>
    <row r="1" spans="2:8" x14ac:dyDescent="0.2">
      <c r="B1" s="106"/>
      <c r="C1" s="106"/>
      <c r="D1" s="106"/>
      <c r="E1" s="106"/>
      <c r="F1" s="106"/>
      <c r="G1" s="106"/>
      <c r="H1" s="106"/>
    </row>
    <row r="2" spans="2:8" ht="16" x14ac:dyDescent="0.2">
      <c r="B2" s="585" t="s">
        <v>65</v>
      </c>
      <c r="C2" s="565" t="s">
        <v>10</v>
      </c>
      <c r="D2" s="587" t="s">
        <v>11</v>
      </c>
      <c r="E2" s="587"/>
      <c r="F2" s="587"/>
      <c r="G2" s="587"/>
      <c r="H2" s="588"/>
    </row>
    <row r="3" spans="2:8" x14ac:dyDescent="0.2">
      <c r="B3" s="586"/>
      <c r="C3" s="566">
        <v>2025</v>
      </c>
      <c r="D3" s="567">
        <v>2026</v>
      </c>
      <c r="E3" s="567">
        <v>2027</v>
      </c>
      <c r="F3" s="567">
        <v>2028</v>
      </c>
      <c r="G3" s="567">
        <v>2029</v>
      </c>
      <c r="H3" s="568">
        <v>2030</v>
      </c>
    </row>
    <row r="4" spans="2:8" x14ac:dyDescent="0.2">
      <c r="B4" s="259" t="s">
        <v>66</v>
      </c>
      <c r="C4" s="260"/>
      <c r="D4" s="260"/>
      <c r="E4" s="260"/>
      <c r="F4" s="260"/>
      <c r="G4" s="260"/>
      <c r="H4" s="261"/>
    </row>
    <row r="5" spans="2:8" x14ac:dyDescent="0.2">
      <c r="B5" s="213" t="s">
        <v>67</v>
      </c>
      <c r="C5" s="154"/>
      <c r="D5" s="173">
        <f>'Balance Sheet'!H25</f>
        <v>0</v>
      </c>
      <c r="E5" s="173">
        <f>'Balance Sheet'!I25</f>
        <v>0</v>
      </c>
      <c r="F5" s="173">
        <f>'Balance Sheet'!J25</f>
        <v>0</v>
      </c>
      <c r="G5" s="173">
        <f>'Balance Sheet'!K25</f>
        <v>0</v>
      </c>
      <c r="H5" s="174">
        <f>'Balance Sheet'!L25</f>
        <v>0</v>
      </c>
    </row>
    <row r="6" spans="2:8" x14ac:dyDescent="0.2">
      <c r="B6" s="213" t="s">
        <v>68</v>
      </c>
      <c r="D6" s="154"/>
      <c r="E6" s="154"/>
      <c r="F6" s="154"/>
      <c r="G6" s="154"/>
      <c r="H6" s="162"/>
    </row>
    <row r="7" spans="2:8" x14ac:dyDescent="0.2">
      <c r="B7" s="213" t="s">
        <v>69</v>
      </c>
      <c r="C7" s="149">
        <v>1.4999999999999999E-2</v>
      </c>
      <c r="D7" s="149">
        <v>1.4999999999999999E-2</v>
      </c>
      <c r="E7" s="150">
        <v>0</v>
      </c>
      <c r="F7" s="150">
        <v>0</v>
      </c>
      <c r="G7" s="150">
        <v>0</v>
      </c>
      <c r="H7" s="151">
        <v>0</v>
      </c>
    </row>
    <row r="8" spans="2:8" x14ac:dyDescent="0.2">
      <c r="B8" s="213" t="s">
        <v>70</v>
      </c>
      <c r="C8" s="146">
        <v>1000</v>
      </c>
      <c r="D8" s="146">
        <v>0</v>
      </c>
      <c r="E8" s="146">
        <v>0</v>
      </c>
      <c r="F8" s="146">
        <v>0</v>
      </c>
      <c r="G8" s="146">
        <v>0</v>
      </c>
      <c r="H8" s="147">
        <v>0</v>
      </c>
    </row>
    <row r="9" spans="2:8" x14ac:dyDescent="0.2">
      <c r="B9" s="213"/>
      <c r="C9" s="321"/>
      <c r="D9" s="146"/>
      <c r="E9" s="146"/>
      <c r="F9" s="146"/>
      <c r="G9" s="146"/>
      <c r="H9" s="147"/>
    </row>
    <row r="10" spans="2:8" x14ac:dyDescent="0.2">
      <c r="B10" s="213" t="s">
        <v>71</v>
      </c>
      <c r="C10" s="322">
        <f>C8</f>
        <v>1000</v>
      </c>
      <c r="D10" s="146">
        <f>C10/2</f>
        <v>500</v>
      </c>
      <c r="E10" s="146">
        <v>0</v>
      </c>
      <c r="F10" s="146">
        <v>0</v>
      </c>
      <c r="G10" s="146">
        <v>0</v>
      </c>
      <c r="H10" s="147">
        <v>0</v>
      </c>
    </row>
    <row r="11" spans="2:8" x14ac:dyDescent="0.2">
      <c r="B11" s="213" t="s">
        <v>72</v>
      </c>
      <c r="C11" s="146">
        <f>C10*C7</f>
        <v>15</v>
      </c>
      <c r="D11" s="146">
        <f>D10*D7</f>
        <v>7.5</v>
      </c>
      <c r="E11" s="146">
        <v>0</v>
      </c>
      <c r="F11" s="146">
        <v>0</v>
      </c>
      <c r="G11" s="146">
        <v>0</v>
      </c>
      <c r="H11" s="147">
        <v>0</v>
      </c>
    </row>
    <row r="12" spans="2:8" x14ac:dyDescent="0.2">
      <c r="B12" s="262"/>
      <c r="C12" s="152" t="s">
        <v>73</v>
      </c>
      <c r="D12" s="152"/>
      <c r="E12" s="323"/>
      <c r="F12" s="323"/>
      <c r="G12" s="323"/>
      <c r="H12" s="324"/>
    </row>
    <row r="13" spans="2:8" x14ac:dyDescent="0.2">
      <c r="B13" s="213" t="s">
        <v>74</v>
      </c>
      <c r="D13" s="154"/>
      <c r="E13" s="154"/>
      <c r="F13" s="154"/>
      <c r="G13" s="154"/>
      <c r="H13" s="162"/>
    </row>
    <row r="14" spans="2:8" x14ac:dyDescent="0.2">
      <c r="B14" s="213" t="s">
        <v>69</v>
      </c>
      <c r="C14" s="149">
        <v>2.2499999999999999E-2</v>
      </c>
      <c r="D14" s="149">
        <v>2.2499999999999999E-2</v>
      </c>
      <c r="E14" s="150">
        <v>0</v>
      </c>
      <c r="F14" s="150">
        <v>0</v>
      </c>
      <c r="G14" s="150">
        <v>0</v>
      </c>
      <c r="H14" s="151">
        <v>0</v>
      </c>
    </row>
    <row r="15" spans="2:8" x14ac:dyDescent="0.2">
      <c r="B15" s="213" t="s">
        <v>70</v>
      </c>
      <c r="C15" s="148">
        <v>1800</v>
      </c>
      <c r="D15" s="146">
        <v>0</v>
      </c>
      <c r="E15" s="146">
        <v>0</v>
      </c>
      <c r="F15" s="146">
        <v>0</v>
      </c>
      <c r="G15" s="146">
        <v>0</v>
      </c>
      <c r="H15" s="147">
        <v>0</v>
      </c>
    </row>
    <row r="16" spans="2:8" x14ac:dyDescent="0.2">
      <c r="B16" s="213"/>
      <c r="C16" s="321"/>
      <c r="D16" s="146"/>
      <c r="E16" s="146"/>
      <c r="F16" s="146"/>
      <c r="G16" s="146"/>
      <c r="H16" s="147"/>
    </row>
    <row r="17" spans="2:8" x14ac:dyDescent="0.2">
      <c r="B17" s="213" t="s">
        <v>71</v>
      </c>
      <c r="C17" s="322">
        <f>C15</f>
        <v>1800</v>
      </c>
      <c r="D17" s="146">
        <f>C17/2</f>
        <v>900</v>
      </c>
      <c r="E17" s="146">
        <v>0</v>
      </c>
      <c r="F17" s="146">
        <v>0</v>
      </c>
      <c r="G17" s="146">
        <v>0</v>
      </c>
      <c r="H17" s="147">
        <v>0</v>
      </c>
    </row>
    <row r="18" spans="2:8" x14ac:dyDescent="0.2">
      <c r="B18" s="213" t="s">
        <v>72</v>
      </c>
      <c r="C18" s="146">
        <f>C17*C14</f>
        <v>40.5</v>
      </c>
      <c r="D18" s="146">
        <f>D17*D14</f>
        <v>20.25</v>
      </c>
      <c r="E18" s="146">
        <v>0</v>
      </c>
      <c r="F18" s="146">
        <v>0</v>
      </c>
      <c r="G18" s="146">
        <v>0</v>
      </c>
      <c r="H18" s="147">
        <v>0</v>
      </c>
    </row>
    <row r="19" spans="2:8" x14ac:dyDescent="0.2">
      <c r="B19" s="262"/>
      <c r="C19" s="325"/>
      <c r="D19" s="326"/>
      <c r="E19" s="326"/>
      <c r="F19" s="326"/>
      <c r="G19" s="326"/>
      <c r="H19" s="327"/>
    </row>
    <row r="20" spans="2:8" x14ac:dyDescent="0.2">
      <c r="B20" s="213" t="s">
        <v>75</v>
      </c>
      <c r="D20" s="154"/>
      <c r="E20" s="154"/>
      <c r="F20" s="154"/>
      <c r="G20" s="154"/>
      <c r="H20" s="162"/>
    </row>
    <row r="21" spans="2:8" x14ac:dyDescent="0.2">
      <c r="B21" s="213" t="s">
        <v>69</v>
      </c>
      <c r="C21" s="149">
        <v>2.6249999999999999E-2</v>
      </c>
      <c r="D21" s="149">
        <v>2.6249999999999999E-2</v>
      </c>
      <c r="E21" s="150">
        <v>0</v>
      </c>
      <c r="F21" s="150">
        <v>0</v>
      </c>
      <c r="G21" s="150">
        <v>0</v>
      </c>
      <c r="H21" s="151">
        <v>0</v>
      </c>
    </row>
    <row r="22" spans="2:8" x14ac:dyDescent="0.2">
      <c r="B22" s="213" t="s">
        <v>70</v>
      </c>
      <c r="C22" s="321">
        <v>1200</v>
      </c>
      <c r="D22" s="146">
        <v>0</v>
      </c>
      <c r="E22" s="146">
        <v>0</v>
      </c>
      <c r="F22" s="146">
        <v>0</v>
      </c>
      <c r="G22" s="146">
        <v>0</v>
      </c>
      <c r="H22" s="147">
        <v>0</v>
      </c>
    </row>
    <row r="23" spans="2:8" x14ac:dyDescent="0.2">
      <c r="B23" s="213"/>
      <c r="C23" s="321"/>
      <c r="D23" s="146"/>
      <c r="E23" s="146"/>
      <c r="F23" s="146"/>
      <c r="G23" s="146"/>
      <c r="H23" s="147"/>
    </row>
    <row r="24" spans="2:8" x14ac:dyDescent="0.2">
      <c r="B24" s="213" t="s">
        <v>71</v>
      </c>
      <c r="C24" s="322">
        <f>C22</f>
        <v>1200</v>
      </c>
      <c r="D24" s="146">
        <f>C22/2</f>
        <v>600</v>
      </c>
      <c r="E24" s="146">
        <v>0</v>
      </c>
      <c r="F24" s="146">
        <f>E24-E25</f>
        <v>0</v>
      </c>
      <c r="G24" s="146">
        <f>F24-F25</f>
        <v>0</v>
      </c>
      <c r="H24" s="147">
        <f>G24-G25</f>
        <v>0</v>
      </c>
    </row>
    <row r="25" spans="2:8" x14ac:dyDescent="0.2">
      <c r="B25" s="213" t="s">
        <v>72</v>
      </c>
      <c r="C25" s="146">
        <f>C24*C21</f>
        <v>31.5</v>
      </c>
      <c r="D25" s="146">
        <f>D24*D21</f>
        <v>15.75</v>
      </c>
      <c r="E25" s="146">
        <v>0</v>
      </c>
      <c r="F25" s="146">
        <v>0</v>
      </c>
      <c r="G25" s="146">
        <v>0</v>
      </c>
      <c r="H25" s="147">
        <v>0</v>
      </c>
    </row>
    <row r="26" spans="2:8" x14ac:dyDescent="0.2">
      <c r="B26" s="262"/>
      <c r="C26" s="152" t="s">
        <v>73</v>
      </c>
      <c r="D26" s="152"/>
      <c r="E26" s="152"/>
      <c r="F26" s="152"/>
      <c r="G26" s="152"/>
      <c r="H26" s="153"/>
    </row>
    <row r="27" spans="2:8" x14ac:dyDescent="0.2">
      <c r="B27" s="263" t="s">
        <v>76</v>
      </c>
      <c r="C27" s="154"/>
      <c r="D27" s="154"/>
      <c r="E27" s="154"/>
      <c r="F27" s="154"/>
      <c r="G27" s="154"/>
      <c r="H27" s="162"/>
    </row>
    <row r="28" spans="2:8" x14ac:dyDescent="0.2">
      <c r="B28" s="263"/>
      <c r="C28" s="154"/>
      <c r="D28" s="154"/>
      <c r="E28" s="154"/>
      <c r="F28" s="154"/>
      <c r="G28" s="154"/>
      <c r="H28" s="162"/>
    </row>
    <row r="29" spans="2:8" x14ac:dyDescent="0.2">
      <c r="B29" s="213" t="s">
        <v>77</v>
      </c>
      <c r="C29" s="154"/>
      <c r="D29" s="155">
        <f>C32</f>
        <v>4000</v>
      </c>
      <c r="E29" s="155">
        <f>D32</f>
        <v>4000</v>
      </c>
      <c r="F29" s="155">
        <v>0</v>
      </c>
      <c r="G29" s="155">
        <v>0</v>
      </c>
      <c r="H29" s="156">
        <v>0</v>
      </c>
    </row>
    <row r="30" spans="2:8" x14ac:dyDescent="0.2">
      <c r="B30" s="213"/>
      <c r="C30" s="154"/>
      <c r="D30" s="155"/>
      <c r="E30" s="157"/>
      <c r="F30" s="157"/>
      <c r="G30" s="157"/>
      <c r="H30" s="158"/>
    </row>
    <row r="31" spans="2:8" x14ac:dyDescent="0.2">
      <c r="B31" s="213" t="s">
        <v>78</v>
      </c>
      <c r="C31" s="154"/>
      <c r="D31" s="159">
        <f>0</f>
        <v>0</v>
      </c>
      <c r="E31" s="126">
        <f>E29</f>
        <v>4000</v>
      </c>
      <c r="F31" s="159">
        <v>0</v>
      </c>
      <c r="G31" s="159">
        <v>0</v>
      </c>
      <c r="H31" s="160">
        <v>0</v>
      </c>
    </row>
    <row r="32" spans="2:8" x14ac:dyDescent="0.2">
      <c r="B32" s="213" t="s">
        <v>70</v>
      </c>
      <c r="C32" s="161">
        <v>4000</v>
      </c>
      <c r="D32" s="159">
        <f>D29-D31</f>
        <v>4000</v>
      </c>
      <c r="E32" s="159">
        <f>E29-E31</f>
        <v>0</v>
      </c>
      <c r="F32" s="159">
        <v>0</v>
      </c>
      <c r="G32" s="159">
        <v>0</v>
      </c>
      <c r="H32" s="160">
        <v>0</v>
      </c>
    </row>
    <row r="33" spans="2:8" x14ac:dyDescent="0.2">
      <c r="B33" s="213"/>
      <c r="C33" s="154"/>
      <c r="D33" s="154"/>
      <c r="E33" s="154"/>
      <c r="F33" s="154"/>
      <c r="G33" s="154"/>
      <c r="H33" s="162"/>
    </row>
    <row r="34" spans="2:8" x14ac:dyDescent="0.2">
      <c r="B34" s="213" t="s">
        <v>69</v>
      </c>
      <c r="C34" s="149">
        <v>3.7499999999999999E-2</v>
      </c>
      <c r="D34" s="149">
        <v>3.7499999999999999E-2</v>
      </c>
      <c r="E34" s="149">
        <v>3.7499999999999999E-2</v>
      </c>
      <c r="F34" s="150">
        <v>0</v>
      </c>
      <c r="G34" s="150">
        <v>0</v>
      </c>
      <c r="H34" s="151">
        <v>0</v>
      </c>
    </row>
    <row r="35" spans="2:8" x14ac:dyDescent="0.2">
      <c r="B35" s="213"/>
      <c r="C35" s="154"/>
      <c r="D35" s="154"/>
      <c r="E35" s="154"/>
      <c r="F35" s="154"/>
      <c r="G35" s="154"/>
      <c r="H35" s="162"/>
    </row>
    <row r="36" spans="2:8" x14ac:dyDescent="0.2">
      <c r="B36" s="213" t="s">
        <v>79</v>
      </c>
      <c r="C36" s="154"/>
      <c r="D36" s="157">
        <f>AVERAGE(D32,C32)</f>
        <v>4000</v>
      </c>
      <c r="E36" s="157">
        <f>AVERAGE(E32,D32)</f>
        <v>2000</v>
      </c>
      <c r="F36" s="157">
        <v>0</v>
      </c>
      <c r="G36" s="157">
        <v>0</v>
      </c>
      <c r="H36" s="158">
        <v>0</v>
      </c>
    </row>
    <row r="37" spans="2:8" x14ac:dyDescent="0.2">
      <c r="B37" s="264" t="s">
        <v>80</v>
      </c>
      <c r="C37" s="163"/>
      <c r="D37" s="164">
        <f>D36*D34</f>
        <v>150</v>
      </c>
      <c r="E37" s="164">
        <f>E34*E36</f>
        <v>75</v>
      </c>
      <c r="F37" s="164">
        <v>0</v>
      </c>
      <c r="G37" s="164">
        <v>0</v>
      </c>
      <c r="H37" s="165">
        <v>0</v>
      </c>
    </row>
    <row r="38" spans="2:8" x14ac:dyDescent="0.2">
      <c r="B38" s="263"/>
      <c r="C38" s="154"/>
      <c r="D38" s="154"/>
      <c r="E38" s="154"/>
      <c r="F38" s="154"/>
      <c r="G38" s="154"/>
      <c r="H38" s="162"/>
    </row>
    <row r="39" spans="2:8" x14ac:dyDescent="0.2">
      <c r="B39" s="213" t="s">
        <v>81</v>
      </c>
      <c r="C39" s="154"/>
      <c r="D39" s="155">
        <f>C42</f>
        <v>1750</v>
      </c>
      <c r="E39" s="155">
        <f>D42</f>
        <v>1750</v>
      </c>
      <c r="F39" s="155">
        <f>E39</f>
        <v>1750</v>
      </c>
      <c r="G39" s="155">
        <v>0</v>
      </c>
      <c r="H39" s="156">
        <v>0</v>
      </c>
    </row>
    <row r="40" spans="2:8" x14ac:dyDescent="0.2">
      <c r="B40" s="213"/>
      <c r="C40" s="154"/>
      <c r="D40" s="155"/>
      <c r="E40" s="157"/>
      <c r="F40" s="157"/>
      <c r="G40" s="157"/>
      <c r="H40" s="158"/>
    </row>
    <row r="41" spans="2:8" x14ac:dyDescent="0.2">
      <c r="B41" s="213" t="s">
        <v>78</v>
      </c>
      <c r="C41" s="154"/>
      <c r="D41" s="159">
        <f>0</f>
        <v>0</v>
      </c>
      <c r="E41" s="126">
        <v>0</v>
      </c>
      <c r="F41" s="159">
        <f>F39</f>
        <v>1750</v>
      </c>
      <c r="G41" s="159">
        <v>0</v>
      </c>
      <c r="H41" s="160">
        <v>0</v>
      </c>
    </row>
    <row r="42" spans="2:8" x14ac:dyDescent="0.2">
      <c r="B42" s="213" t="s">
        <v>70</v>
      </c>
      <c r="C42" s="161">
        <v>1750</v>
      </c>
      <c r="D42" s="159">
        <f>D39-D41</f>
        <v>1750</v>
      </c>
      <c r="E42" s="159">
        <f>E39-E41</f>
        <v>1750</v>
      </c>
      <c r="F42" s="159">
        <f>F39-F41</f>
        <v>0</v>
      </c>
      <c r="G42" s="159">
        <v>0</v>
      </c>
      <c r="H42" s="160">
        <v>0</v>
      </c>
    </row>
    <row r="43" spans="2:8" x14ac:dyDescent="0.2">
      <c r="B43" s="213"/>
      <c r="C43" s="154"/>
      <c r="D43" s="154"/>
      <c r="E43" s="154"/>
      <c r="F43" s="154"/>
      <c r="G43" s="154"/>
      <c r="H43" s="162"/>
    </row>
    <row r="44" spans="2:8" x14ac:dyDescent="0.2">
      <c r="B44" s="213" t="s">
        <v>69</v>
      </c>
      <c r="C44" s="149">
        <v>2.0500000000000001E-2</v>
      </c>
      <c r="D44" s="149">
        <v>2.0500000000000001E-2</v>
      </c>
      <c r="E44" s="149">
        <v>2.0500000000000001E-2</v>
      </c>
      <c r="F44" s="149">
        <v>2.0500000000000001E-2</v>
      </c>
      <c r="G44" s="150">
        <v>0</v>
      </c>
      <c r="H44" s="151">
        <v>0</v>
      </c>
    </row>
    <row r="45" spans="2:8" x14ac:dyDescent="0.2">
      <c r="B45" s="213"/>
      <c r="C45" s="154"/>
      <c r="D45" s="154"/>
      <c r="E45" s="154"/>
      <c r="F45" s="154"/>
      <c r="G45" s="154"/>
      <c r="H45" s="162"/>
    </row>
    <row r="46" spans="2:8" x14ac:dyDescent="0.2">
      <c r="B46" s="213" t="s">
        <v>79</v>
      </c>
      <c r="C46" s="154"/>
      <c r="D46" s="157">
        <f>AVERAGE(D42,C42)</f>
        <v>1750</v>
      </c>
      <c r="E46" s="157">
        <f>AVERAGE(E42,D42)</f>
        <v>1750</v>
      </c>
      <c r="F46" s="157">
        <f>AVERAGE(F42,E42)</f>
        <v>875</v>
      </c>
      <c r="G46" s="157">
        <v>0</v>
      </c>
      <c r="H46" s="158">
        <v>0</v>
      </c>
    </row>
    <row r="47" spans="2:8" x14ac:dyDescent="0.2">
      <c r="B47" s="264" t="s">
        <v>80</v>
      </c>
      <c r="C47" s="163"/>
      <c r="D47" s="164">
        <f>D46*D44</f>
        <v>35.875</v>
      </c>
      <c r="E47" s="164">
        <f>E44*E46</f>
        <v>35.875</v>
      </c>
      <c r="F47" s="164">
        <f>F44*F46</f>
        <v>17.9375</v>
      </c>
      <c r="G47" s="164">
        <f t="shared" ref="G47" si="0">G44*G46</f>
        <v>0</v>
      </c>
      <c r="H47" s="165">
        <v>0</v>
      </c>
    </row>
    <row r="48" spans="2:8" x14ac:dyDescent="0.2">
      <c r="B48" s="265"/>
      <c r="C48" s="154"/>
      <c r="D48" s="154"/>
      <c r="E48" s="154"/>
      <c r="F48" s="154"/>
      <c r="G48" s="154"/>
      <c r="H48" s="166"/>
    </row>
    <row r="49" spans="2:8" x14ac:dyDescent="0.2">
      <c r="B49" s="265" t="s">
        <v>82</v>
      </c>
      <c r="C49" s="154"/>
      <c r="D49" s="155">
        <f>C52</f>
        <v>1500</v>
      </c>
      <c r="E49" s="155">
        <f>D52</f>
        <v>1500</v>
      </c>
      <c r="F49" s="155">
        <f>E49</f>
        <v>1500</v>
      </c>
      <c r="G49" s="155">
        <v>0</v>
      </c>
      <c r="H49" s="156">
        <v>0</v>
      </c>
    </row>
    <row r="50" spans="2:8" ht="15.75" customHeight="1" x14ac:dyDescent="0.2">
      <c r="B50" s="213"/>
      <c r="C50" s="154"/>
      <c r="D50" s="155"/>
      <c r="E50" s="157"/>
      <c r="F50" s="157"/>
      <c r="G50" s="157"/>
      <c r="H50" s="158"/>
    </row>
    <row r="51" spans="2:8" x14ac:dyDescent="0.2">
      <c r="B51" s="213" t="s">
        <v>78</v>
      </c>
      <c r="C51" s="154"/>
      <c r="D51" s="159">
        <f>0</f>
        <v>0</v>
      </c>
      <c r="E51" s="126">
        <v>0</v>
      </c>
      <c r="F51" s="159">
        <f>F49</f>
        <v>1500</v>
      </c>
      <c r="G51" s="159">
        <v>0</v>
      </c>
      <c r="H51" s="160">
        <v>0</v>
      </c>
    </row>
    <row r="52" spans="2:8" x14ac:dyDescent="0.2">
      <c r="B52" s="213" t="s">
        <v>70</v>
      </c>
      <c r="C52" s="161">
        <v>1500</v>
      </c>
      <c r="D52" s="159">
        <f>D49-D51</f>
        <v>1500</v>
      </c>
      <c r="E52" s="159">
        <f>E49-E51</f>
        <v>1500</v>
      </c>
      <c r="F52" s="159">
        <f>F49-F51</f>
        <v>0</v>
      </c>
      <c r="G52" s="159">
        <v>0</v>
      </c>
      <c r="H52" s="160">
        <v>0</v>
      </c>
    </row>
    <row r="53" spans="2:8" x14ac:dyDescent="0.2">
      <c r="B53" s="213"/>
      <c r="C53" s="154"/>
      <c r="D53" s="154"/>
      <c r="E53" s="154"/>
      <c r="F53" s="154"/>
      <c r="G53" s="154"/>
      <c r="H53" s="162"/>
    </row>
    <row r="54" spans="2:8" x14ac:dyDescent="0.2">
      <c r="B54" s="213" t="s">
        <v>69</v>
      </c>
      <c r="C54" s="149">
        <v>4.7500000000000001E-2</v>
      </c>
      <c r="D54" s="149">
        <v>4.7500000000000001E-2</v>
      </c>
      <c r="E54" s="149">
        <v>4.7500000000000001E-2</v>
      </c>
      <c r="F54" s="149">
        <v>4.7500000000000001E-2</v>
      </c>
      <c r="G54" s="150">
        <v>0</v>
      </c>
      <c r="H54" s="151">
        <v>0</v>
      </c>
    </row>
    <row r="55" spans="2:8" x14ac:dyDescent="0.2">
      <c r="B55" s="213"/>
      <c r="C55" s="154"/>
      <c r="D55" s="154"/>
      <c r="E55" s="154"/>
      <c r="F55" s="154"/>
      <c r="G55" s="154"/>
      <c r="H55" s="162"/>
    </row>
    <row r="56" spans="2:8" x14ac:dyDescent="0.2">
      <c r="B56" s="213" t="s">
        <v>79</v>
      </c>
      <c r="C56" s="154"/>
      <c r="D56" s="157">
        <f>AVERAGE(D52,C52)</f>
        <v>1500</v>
      </c>
      <c r="E56" s="157">
        <f>AVERAGE(E52,D52)</f>
        <v>1500</v>
      </c>
      <c r="F56" s="157">
        <f>AVERAGE(F52,E52)</f>
        <v>750</v>
      </c>
      <c r="G56" s="157">
        <v>0</v>
      </c>
      <c r="H56" s="158">
        <v>0</v>
      </c>
    </row>
    <row r="57" spans="2:8" x14ac:dyDescent="0.2">
      <c r="B57" s="264" t="s">
        <v>80</v>
      </c>
      <c r="C57" s="163"/>
      <c r="D57" s="164">
        <f>D56*D54</f>
        <v>71.25</v>
      </c>
      <c r="E57" s="164">
        <f>E54*E56</f>
        <v>71.25</v>
      </c>
      <c r="F57" s="164">
        <f>F54*F56</f>
        <v>35.625</v>
      </c>
      <c r="G57" s="164">
        <f t="shared" ref="G57" si="1">G54*G56</f>
        <v>0</v>
      </c>
      <c r="H57" s="165">
        <v>0</v>
      </c>
    </row>
    <row r="58" spans="2:8" x14ac:dyDescent="0.2">
      <c r="B58" s="266"/>
      <c r="C58" s="167"/>
      <c r="D58" s="167"/>
      <c r="E58" s="167"/>
      <c r="F58" s="167"/>
      <c r="G58" s="167"/>
      <c r="H58" s="166"/>
    </row>
    <row r="59" spans="2:8" x14ac:dyDescent="0.2">
      <c r="B59" s="265" t="s">
        <v>83</v>
      </c>
      <c r="C59" s="154"/>
      <c r="D59" s="155">
        <f>C62</f>
        <v>1500</v>
      </c>
      <c r="E59" s="155">
        <f>D62</f>
        <v>1500</v>
      </c>
      <c r="F59" s="155">
        <f>E59</f>
        <v>1500</v>
      </c>
      <c r="G59" s="155">
        <v>0</v>
      </c>
      <c r="H59" s="156">
        <v>0</v>
      </c>
    </row>
    <row r="60" spans="2:8" x14ac:dyDescent="0.2">
      <c r="B60" s="213"/>
      <c r="C60" s="154"/>
      <c r="D60" s="155"/>
      <c r="E60" s="157"/>
      <c r="F60" s="157"/>
      <c r="G60" s="157"/>
      <c r="H60" s="158"/>
    </row>
    <row r="61" spans="2:8" x14ac:dyDescent="0.2">
      <c r="B61" s="213" t="s">
        <v>78</v>
      </c>
      <c r="C61" s="154"/>
      <c r="D61" s="159">
        <f>0</f>
        <v>0</v>
      </c>
      <c r="E61" s="126">
        <v>0</v>
      </c>
      <c r="F61" s="159">
        <f>F59</f>
        <v>1500</v>
      </c>
      <c r="G61" s="159">
        <v>0</v>
      </c>
      <c r="H61" s="160">
        <v>0</v>
      </c>
    </row>
    <row r="62" spans="2:8" x14ac:dyDescent="0.2">
      <c r="B62" s="213" t="s">
        <v>70</v>
      </c>
      <c r="C62" s="161">
        <v>1500</v>
      </c>
      <c r="D62" s="159">
        <f>D59-D61</f>
        <v>1500</v>
      </c>
      <c r="E62" s="159">
        <f>E59-E61</f>
        <v>1500</v>
      </c>
      <c r="F62" s="159">
        <f>F59-F61</f>
        <v>0</v>
      </c>
      <c r="G62" s="159">
        <v>0</v>
      </c>
      <c r="H62" s="160">
        <v>0</v>
      </c>
    </row>
    <row r="63" spans="2:8" x14ac:dyDescent="0.2">
      <c r="B63" s="213"/>
      <c r="C63" s="154"/>
      <c r="D63" s="154"/>
      <c r="E63" s="154"/>
      <c r="F63" s="154"/>
      <c r="G63" s="154"/>
      <c r="H63" s="162"/>
    </row>
    <row r="64" spans="2:8" x14ac:dyDescent="0.2">
      <c r="B64" s="213" t="s">
        <v>69</v>
      </c>
      <c r="C64" s="149">
        <v>4.7500000000000001E-2</v>
      </c>
      <c r="D64" s="149">
        <v>4.7500000000000001E-2</v>
      </c>
      <c r="E64" s="149">
        <v>4.7500000000000001E-2</v>
      </c>
      <c r="F64" s="149">
        <v>4.7500000000000001E-2</v>
      </c>
      <c r="G64" s="150">
        <v>0</v>
      </c>
      <c r="H64" s="151">
        <v>0</v>
      </c>
    </row>
    <row r="65" spans="2:8" x14ac:dyDescent="0.2">
      <c r="B65" s="213"/>
      <c r="C65" s="154"/>
      <c r="D65" s="154"/>
      <c r="E65" s="154"/>
      <c r="F65" s="154"/>
      <c r="G65" s="154"/>
      <c r="H65" s="162"/>
    </row>
    <row r="66" spans="2:8" x14ac:dyDescent="0.2">
      <c r="B66" s="213" t="s">
        <v>79</v>
      </c>
      <c r="C66" s="154"/>
      <c r="D66" s="157">
        <f>AVERAGE(D62,C62)</f>
        <v>1500</v>
      </c>
      <c r="E66" s="157">
        <f>AVERAGE(E62,D62)</f>
        <v>1500</v>
      </c>
      <c r="F66" s="157">
        <f>AVERAGE(F62,E62)</f>
        <v>750</v>
      </c>
      <c r="G66" s="157">
        <v>0</v>
      </c>
      <c r="H66" s="158">
        <v>0</v>
      </c>
    </row>
    <row r="67" spans="2:8" x14ac:dyDescent="0.2">
      <c r="B67" s="264" t="s">
        <v>80</v>
      </c>
      <c r="C67" s="163"/>
      <c r="D67" s="164">
        <f>D66*D64</f>
        <v>71.25</v>
      </c>
      <c r="E67" s="164">
        <f>E64*E66</f>
        <v>71.25</v>
      </c>
      <c r="F67" s="164">
        <f>F64*F66</f>
        <v>35.625</v>
      </c>
      <c r="G67" s="164">
        <f>G64*G66</f>
        <v>0</v>
      </c>
      <c r="H67" s="165">
        <v>0</v>
      </c>
    </row>
    <row r="68" spans="2:8" x14ac:dyDescent="0.2">
      <c r="B68" s="213"/>
      <c r="C68" s="168"/>
      <c r="D68" s="169"/>
      <c r="E68" s="169"/>
      <c r="F68" s="169"/>
      <c r="G68" s="169"/>
      <c r="H68" s="170"/>
    </row>
    <row r="69" spans="2:8" x14ac:dyDescent="0.2">
      <c r="B69" s="265" t="s">
        <v>84</v>
      </c>
      <c r="C69" s="154"/>
      <c r="D69" s="155">
        <f>C72</f>
        <v>900</v>
      </c>
      <c r="E69" s="155">
        <f>D72</f>
        <v>900</v>
      </c>
      <c r="F69" s="155">
        <f>E69</f>
        <v>900</v>
      </c>
      <c r="G69" s="155">
        <v>0</v>
      </c>
      <c r="H69" s="156">
        <v>0</v>
      </c>
    </row>
    <row r="70" spans="2:8" x14ac:dyDescent="0.2">
      <c r="B70" s="213"/>
      <c r="C70" s="154"/>
      <c r="D70" s="155"/>
      <c r="E70" s="157"/>
      <c r="F70" s="157"/>
      <c r="G70" s="157"/>
      <c r="H70" s="158"/>
    </row>
    <row r="71" spans="2:8" x14ac:dyDescent="0.2">
      <c r="B71" s="213" t="s">
        <v>78</v>
      </c>
      <c r="C71" s="154"/>
      <c r="D71" s="159">
        <f>0</f>
        <v>0</v>
      </c>
      <c r="E71" s="126">
        <v>0</v>
      </c>
      <c r="F71" s="159">
        <f>F69</f>
        <v>900</v>
      </c>
      <c r="G71" s="159">
        <v>0</v>
      </c>
      <c r="H71" s="160">
        <v>0</v>
      </c>
    </row>
    <row r="72" spans="2:8" x14ac:dyDescent="0.2">
      <c r="B72" s="213" t="s">
        <v>70</v>
      </c>
      <c r="C72" s="161">
        <v>900</v>
      </c>
      <c r="D72" s="159">
        <f>D69-D71</f>
        <v>900</v>
      </c>
      <c r="E72" s="159">
        <f>E69-E71</f>
        <v>900</v>
      </c>
      <c r="F72" s="159">
        <f>F69-F71</f>
        <v>0</v>
      </c>
      <c r="G72" s="159">
        <v>0</v>
      </c>
      <c r="H72" s="160">
        <v>0</v>
      </c>
    </row>
    <row r="73" spans="2:8" x14ac:dyDescent="0.2">
      <c r="B73" s="213"/>
      <c r="C73" s="154"/>
      <c r="D73" s="154"/>
      <c r="E73" s="154"/>
      <c r="F73" s="154"/>
      <c r="G73" s="154"/>
      <c r="H73" s="162"/>
    </row>
    <row r="74" spans="2:8" x14ac:dyDescent="0.2">
      <c r="B74" s="213" t="s">
        <v>69</v>
      </c>
      <c r="C74" s="149">
        <v>4.8000000000000001E-2</v>
      </c>
      <c r="D74" s="149">
        <v>4.8000000000000001E-2</v>
      </c>
      <c r="E74" s="149">
        <v>4.8000000000000001E-2</v>
      </c>
      <c r="F74" s="149">
        <v>4.8000000000000001E-2</v>
      </c>
      <c r="G74" s="150">
        <v>0</v>
      </c>
      <c r="H74" s="151">
        <v>0</v>
      </c>
    </row>
    <row r="75" spans="2:8" x14ac:dyDescent="0.2">
      <c r="B75" s="213"/>
      <c r="C75" s="154"/>
      <c r="D75" s="154"/>
      <c r="E75" s="154"/>
      <c r="F75" s="154"/>
      <c r="G75" s="154"/>
      <c r="H75" s="162"/>
    </row>
    <row r="76" spans="2:8" x14ac:dyDescent="0.2">
      <c r="B76" s="213" t="s">
        <v>79</v>
      </c>
      <c r="C76" s="154"/>
      <c r="D76" s="157">
        <f>AVERAGE(D72,C72)</f>
        <v>900</v>
      </c>
      <c r="E76" s="157">
        <f>AVERAGE(E72,D72)</f>
        <v>900</v>
      </c>
      <c r="F76" s="157">
        <f>AVERAGE(F72,E72)</f>
        <v>450</v>
      </c>
      <c r="G76" s="157">
        <v>0</v>
      </c>
      <c r="H76" s="158">
        <v>0</v>
      </c>
    </row>
    <row r="77" spans="2:8" x14ac:dyDescent="0.2">
      <c r="B77" s="264" t="s">
        <v>80</v>
      </c>
      <c r="C77" s="163"/>
      <c r="D77" s="164">
        <f>D76*D74</f>
        <v>43.2</v>
      </c>
      <c r="E77" s="164">
        <f>E74*E76</f>
        <v>43.2</v>
      </c>
      <c r="F77" s="164">
        <f>F74*F76</f>
        <v>21.6</v>
      </c>
      <c r="G77" s="164">
        <f>G74*G76</f>
        <v>0</v>
      </c>
      <c r="H77" s="165">
        <v>0</v>
      </c>
    </row>
    <row r="78" spans="2:8" x14ac:dyDescent="0.2">
      <c r="B78" s="213"/>
      <c r="C78" s="168"/>
      <c r="D78" s="169"/>
      <c r="E78" s="169"/>
      <c r="F78" s="169"/>
      <c r="G78" s="169"/>
      <c r="H78" s="170"/>
    </row>
    <row r="79" spans="2:8" x14ac:dyDescent="0.2">
      <c r="B79" s="265" t="s">
        <v>85</v>
      </c>
      <c r="C79" s="154"/>
      <c r="D79" s="155">
        <f>C82</f>
        <v>1000</v>
      </c>
      <c r="E79" s="155">
        <f>D82</f>
        <v>1000</v>
      </c>
      <c r="F79" s="155">
        <f>E79</f>
        <v>1000</v>
      </c>
      <c r="G79" s="155">
        <v>0</v>
      </c>
      <c r="H79" s="156">
        <v>0</v>
      </c>
    </row>
    <row r="80" spans="2:8" x14ac:dyDescent="0.2">
      <c r="B80" s="213"/>
      <c r="C80" s="154"/>
      <c r="D80" s="155"/>
      <c r="E80" s="157"/>
      <c r="F80" s="157"/>
      <c r="G80" s="157"/>
      <c r="H80" s="158"/>
    </row>
    <row r="81" spans="2:8" x14ac:dyDescent="0.2">
      <c r="B81" s="213" t="s">
        <v>78</v>
      </c>
      <c r="C81" s="154"/>
      <c r="D81" s="159">
        <f>0</f>
        <v>0</v>
      </c>
      <c r="E81" s="126">
        <v>0</v>
      </c>
      <c r="F81" s="159">
        <f>F79</f>
        <v>1000</v>
      </c>
      <c r="G81" s="159">
        <v>0</v>
      </c>
      <c r="H81" s="160">
        <v>0</v>
      </c>
    </row>
    <row r="82" spans="2:8" x14ac:dyDescent="0.2">
      <c r="B82" s="213" t="s">
        <v>70</v>
      </c>
      <c r="C82" s="161">
        <v>1000</v>
      </c>
      <c r="D82" s="159">
        <f>D79-D81</f>
        <v>1000</v>
      </c>
      <c r="E82" s="159">
        <f>E79-E81</f>
        <v>1000</v>
      </c>
      <c r="F82" s="159">
        <f>F79-F81</f>
        <v>0</v>
      </c>
      <c r="G82" s="159">
        <v>0</v>
      </c>
      <c r="H82" s="160">
        <v>0</v>
      </c>
    </row>
    <row r="83" spans="2:8" x14ac:dyDescent="0.2">
      <c r="B83" s="213"/>
      <c r="C83" s="154"/>
      <c r="D83" s="154"/>
      <c r="E83" s="154"/>
      <c r="F83" s="154"/>
      <c r="G83" s="154"/>
      <c r="H83" s="162"/>
    </row>
    <row r="84" spans="2:8" x14ac:dyDescent="0.2">
      <c r="B84" s="213" t="s">
        <v>69</v>
      </c>
      <c r="C84" s="149">
        <v>4.9500000000000002E-2</v>
      </c>
      <c r="D84" s="149">
        <v>4.9500000000000002E-2</v>
      </c>
      <c r="E84" s="149">
        <v>4.9500000000000002E-2</v>
      </c>
      <c r="F84" s="149">
        <v>4.9500000000000002E-2</v>
      </c>
      <c r="G84" s="150">
        <v>0</v>
      </c>
      <c r="H84" s="151">
        <v>0</v>
      </c>
    </row>
    <row r="85" spans="2:8" x14ac:dyDescent="0.2">
      <c r="B85" s="213"/>
      <c r="C85" s="154"/>
      <c r="D85" s="154"/>
      <c r="E85" s="154"/>
      <c r="F85" s="154"/>
      <c r="G85" s="154"/>
      <c r="H85" s="162"/>
    </row>
    <row r="86" spans="2:8" x14ac:dyDescent="0.2">
      <c r="B86" s="213" t="s">
        <v>79</v>
      </c>
      <c r="C86" s="154"/>
      <c r="D86" s="157">
        <f>AVERAGE(D82,C82)</f>
        <v>1000</v>
      </c>
      <c r="E86" s="157">
        <f>AVERAGE(E82,D82)</f>
        <v>1000</v>
      </c>
      <c r="F86" s="157">
        <f>AVERAGE(F82,E82)</f>
        <v>500</v>
      </c>
      <c r="G86" s="157">
        <v>0</v>
      </c>
      <c r="H86" s="158">
        <v>0</v>
      </c>
    </row>
    <row r="87" spans="2:8" x14ac:dyDescent="0.2">
      <c r="B87" s="264" t="s">
        <v>80</v>
      </c>
      <c r="C87" s="163"/>
      <c r="D87" s="164">
        <f>D86*D84</f>
        <v>49.5</v>
      </c>
      <c r="E87" s="164">
        <f>E84*E86</f>
        <v>49.5</v>
      </c>
      <c r="F87" s="164">
        <f>F84*F86</f>
        <v>24.75</v>
      </c>
      <c r="G87" s="164">
        <f>G84*G86</f>
        <v>0</v>
      </c>
      <c r="H87" s="165">
        <v>0</v>
      </c>
    </row>
    <row r="88" spans="2:8" x14ac:dyDescent="0.2">
      <c r="B88" s="213"/>
      <c r="C88" s="168"/>
      <c r="D88" s="169"/>
      <c r="E88" s="169"/>
      <c r="F88" s="169"/>
      <c r="G88" s="169"/>
      <c r="H88" s="170"/>
    </row>
    <row r="89" spans="2:8" x14ac:dyDescent="0.2">
      <c r="B89" s="265" t="s">
        <v>86</v>
      </c>
      <c r="C89" s="154"/>
      <c r="D89" s="155">
        <f>C92</f>
        <v>827</v>
      </c>
      <c r="E89" s="155">
        <f>D92</f>
        <v>827</v>
      </c>
      <c r="F89" s="155">
        <f>E89</f>
        <v>827</v>
      </c>
      <c r="G89" s="155">
        <v>0</v>
      </c>
      <c r="H89" s="156">
        <v>0</v>
      </c>
    </row>
    <row r="90" spans="2:8" x14ac:dyDescent="0.2">
      <c r="B90" s="213"/>
      <c r="C90" s="154"/>
      <c r="D90" s="155"/>
      <c r="E90" s="157"/>
      <c r="F90" s="157"/>
      <c r="G90" s="157"/>
      <c r="H90" s="158"/>
    </row>
    <row r="91" spans="2:8" x14ac:dyDescent="0.2">
      <c r="B91" s="213" t="s">
        <v>78</v>
      </c>
      <c r="C91" s="154"/>
      <c r="D91" s="159">
        <f>0</f>
        <v>0</v>
      </c>
      <c r="E91" s="126">
        <v>0</v>
      </c>
      <c r="F91" s="159">
        <f>F89</f>
        <v>827</v>
      </c>
      <c r="G91" s="159">
        <v>0</v>
      </c>
      <c r="H91" s="160">
        <v>0</v>
      </c>
    </row>
    <row r="92" spans="2:8" x14ac:dyDescent="0.2">
      <c r="B92" s="213" t="s">
        <v>70</v>
      </c>
      <c r="C92" s="161">
        <v>827</v>
      </c>
      <c r="D92" s="159">
        <f>D89-D91</f>
        <v>827</v>
      </c>
      <c r="E92" s="159">
        <f>E89-E91</f>
        <v>827</v>
      </c>
      <c r="F92" s="159">
        <f>F89-F91</f>
        <v>0</v>
      </c>
      <c r="G92" s="159">
        <v>0</v>
      </c>
      <c r="H92" s="160">
        <v>0</v>
      </c>
    </row>
    <row r="93" spans="2:8" x14ac:dyDescent="0.2">
      <c r="B93" s="213"/>
      <c r="C93" s="154"/>
      <c r="D93" s="154"/>
      <c r="E93" s="154"/>
      <c r="F93" s="154"/>
      <c r="G93" s="154"/>
      <c r="H93" s="162"/>
    </row>
    <row r="94" spans="2:8" x14ac:dyDescent="0.2">
      <c r="B94" s="213" t="s">
        <v>69</v>
      </c>
      <c r="C94" s="149">
        <v>5.1520000000000003E-2</v>
      </c>
      <c r="D94" s="149">
        <v>5.1520000000000003E-2</v>
      </c>
      <c r="E94" s="149">
        <v>5.1520000000000003E-2</v>
      </c>
      <c r="F94" s="149">
        <v>5.1520000000000003E-2</v>
      </c>
      <c r="G94" s="150">
        <v>0</v>
      </c>
      <c r="H94" s="151">
        <v>0</v>
      </c>
    </row>
    <row r="95" spans="2:8" x14ac:dyDescent="0.2">
      <c r="B95" s="213"/>
      <c r="C95" s="154"/>
      <c r="D95" s="154"/>
      <c r="E95" s="154"/>
      <c r="F95" s="154"/>
      <c r="G95" s="154"/>
      <c r="H95" s="162"/>
    </row>
    <row r="96" spans="2:8" x14ac:dyDescent="0.2">
      <c r="B96" s="213" t="s">
        <v>79</v>
      </c>
      <c r="C96" s="154"/>
      <c r="D96" s="157">
        <f>AVERAGE(D92,C92)</f>
        <v>827</v>
      </c>
      <c r="E96" s="157">
        <f>AVERAGE(E92,D92)</f>
        <v>827</v>
      </c>
      <c r="F96" s="157">
        <f>AVERAGE(F92,E92)</f>
        <v>413.5</v>
      </c>
      <c r="G96" s="157">
        <v>0</v>
      </c>
      <c r="H96" s="158">
        <v>0</v>
      </c>
    </row>
    <row r="97" spans="2:8" x14ac:dyDescent="0.2">
      <c r="B97" s="264" t="s">
        <v>80</v>
      </c>
      <c r="C97" s="163"/>
      <c r="D97" s="164">
        <f>D96*D94</f>
        <v>42.607040000000005</v>
      </c>
      <c r="E97" s="164">
        <f>E94*E96</f>
        <v>42.607040000000005</v>
      </c>
      <c r="F97" s="164">
        <f>F94*F96</f>
        <v>21.303520000000002</v>
      </c>
      <c r="G97" s="164">
        <f>G94*G96</f>
        <v>0</v>
      </c>
      <c r="H97" s="165">
        <v>0</v>
      </c>
    </row>
    <row r="98" spans="2:8" x14ac:dyDescent="0.2">
      <c r="B98" s="213"/>
      <c r="C98" s="168"/>
      <c r="D98" s="169"/>
      <c r="E98" s="169"/>
      <c r="F98" s="169"/>
      <c r="G98" s="169"/>
      <c r="H98" s="170"/>
    </row>
    <row r="99" spans="2:8" x14ac:dyDescent="0.2">
      <c r="B99" s="265" t="s">
        <v>87</v>
      </c>
      <c r="C99" s="154"/>
      <c r="D99" s="155">
        <f>C102</f>
        <v>2475</v>
      </c>
      <c r="E99" s="155">
        <f>D102</f>
        <v>2475</v>
      </c>
      <c r="F99" s="155">
        <f>E99</f>
        <v>2475</v>
      </c>
      <c r="G99" s="155">
        <v>0</v>
      </c>
      <c r="H99" s="156">
        <v>0</v>
      </c>
    </row>
    <row r="100" spans="2:8" x14ac:dyDescent="0.2">
      <c r="B100" s="213"/>
      <c r="C100" s="154"/>
      <c r="D100" s="155"/>
      <c r="E100" s="157"/>
      <c r="F100" s="157"/>
      <c r="G100" s="157"/>
      <c r="H100" s="158"/>
    </row>
    <row r="101" spans="2:8" x14ac:dyDescent="0.2">
      <c r="B101" s="213" t="s">
        <v>78</v>
      </c>
      <c r="C101" s="154"/>
      <c r="D101" s="159">
        <f>0</f>
        <v>0</v>
      </c>
      <c r="E101" s="126">
        <v>0</v>
      </c>
      <c r="F101" s="159">
        <f>F99</f>
        <v>2475</v>
      </c>
      <c r="G101" s="159">
        <v>0</v>
      </c>
      <c r="H101" s="160">
        <v>0</v>
      </c>
    </row>
    <row r="102" spans="2:8" x14ac:dyDescent="0.2">
      <c r="B102" s="213" t="s">
        <v>70</v>
      </c>
      <c r="C102" s="161">
        <v>2475</v>
      </c>
      <c r="D102" s="159">
        <f>D99-D101</f>
        <v>2475</v>
      </c>
      <c r="E102" s="159">
        <f>E99-E101</f>
        <v>2475</v>
      </c>
      <c r="F102" s="159">
        <f>F99-F101</f>
        <v>0</v>
      </c>
      <c r="G102" s="159">
        <v>0</v>
      </c>
      <c r="H102" s="160">
        <v>0</v>
      </c>
    </row>
    <row r="103" spans="2:8" x14ac:dyDescent="0.2">
      <c r="B103" s="213"/>
      <c r="C103" s="154"/>
      <c r="D103" s="154"/>
      <c r="E103" s="154"/>
      <c r="F103" s="154"/>
      <c r="G103" s="154"/>
      <c r="H103" s="162"/>
    </row>
    <row r="104" spans="2:8" x14ac:dyDescent="0.2">
      <c r="B104" s="213" t="s">
        <v>69</v>
      </c>
      <c r="C104" s="149">
        <v>6.8750000000000006E-2</v>
      </c>
      <c r="D104" s="149">
        <v>6.8750000000000006E-2</v>
      </c>
      <c r="E104" s="149">
        <v>6.8750000000000006E-2</v>
      </c>
      <c r="F104" s="149">
        <v>6.8750000000000006E-2</v>
      </c>
      <c r="G104" s="150">
        <v>0</v>
      </c>
      <c r="H104" s="151">
        <v>0</v>
      </c>
    </row>
    <row r="105" spans="2:8" x14ac:dyDescent="0.2">
      <c r="B105" s="213"/>
      <c r="C105" s="154"/>
      <c r="D105" s="154"/>
      <c r="E105" s="154"/>
      <c r="F105" s="154"/>
      <c r="G105" s="154"/>
      <c r="H105" s="162"/>
    </row>
    <row r="106" spans="2:8" x14ac:dyDescent="0.2">
      <c r="B106" s="213" t="s">
        <v>79</v>
      </c>
      <c r="C106" s="154"/>
      <c r="D106" s="157">
        <f>AVERAGE(D102,C102)</f>
        <v>2475</v>
      </c>
      <c r="E106" s="157">
        <f>AVERAGE(E102,D102)</f>
        <v>2475</v>
      </c>
      <c r="F106" s="157">
        <f>AVERAGE(F102,E102)</f>
        <v>1237.5</v>
      </c>
      <c r="G106" s="157">
        <v>0</v>
      </c>
      <c r="H106" s="158">
        <v>0</v>
      </c>
    </row>
    <row r="107" spans="2:8" x14ac:dyDescent="0.2">
      <c r="B107" s="264" t="s">
        <v>80</v>
      </c>
      <c r="C107" s="163"/>
      <c r="D107" s="164">
        <f>D106*D104</f>
        <v>170.15625</v>
      </c>
      <c r="E107" s="164">
        <f>E104*E106</f>
        <v>170.15625</v>
      </c>
      <c r="F107" s="164">
        <f>F104*F106</f>
        <v>85.078125</v>
      </c>
      <c r="G107" s="164">
        <f>G104*G106</f>
        <v>0</v>
      </c>
      <c r="H107" s="165">
        <v>0</v>
      </c>
    </row>
    <row r="108" spans="2:8" x14ac:dyDescent="0.2">
      <c r="B108" s="213"/>
      <c r="C108" s="168"/>
      <c r="D108" s="169"/>
      <c r="E108" s="169"/>
      <c r="F108" s="169"/>
      <c r="G108" s="169"/>
      <c r="H108" s="170"/>
    </row>
    <row r="109" spans="2:8" x14ac:dyDescent="0.2">
      <c r="B109" s="265" t="s">
        <v>88</v>
      </c>
      <c r="C109" s="154"/>
      <c r="D109" s="155">
        <f>C112</f>
        <v>500</v>
      </c>
      <c r="E109" s="155">
        <f>D112</f>
        <v>500</v>
      </c>
      <c r="F109" s="155">
        <f>E109</f>
        <v>500</v>
      </c>
      <c r="G109" s="155">
        <f>F109</f>
        <v>500</v>
      </c>
      <c r="H109" s="156">
        <v>0</v>
      </c>
    </row>
    <row r="110" spans="2:8" x14ac:dyDescent="0.2">
      <c r="B110" s="213"/>
      <c r="C110" s="154"/>
      <c r="D110" s="155"/>
      <c r="E110" s="157"/>
      <c r="F110" s="157"/>
      <c r="G110" s="157"/>
      <c r="H110" s="158"/>
    </row>
    <row r="111" spans="2:8" x14ac:dyDescent="0.2">
      <c r="B111" s="213" t="s">
        <v>78</v>
      </c>
      <c r="C111" s="154"/>
      <c r="D111" s="159">
        <f>0</f>
        <v>0</v>
      </c>
      <c r="E111" s="126">
        <v>0</v>
      </c>
      <c r="F111" s="159">
        <v>0</v>
      </c>
      <c r="G111" s="159">
        <f>G109</f>
        <v>500</v>
      </c>
      <c r="H111" s="160">
        <v>0</v>
      </c>
    </row>
    <row r="112" spans="2:8" x14ac:dyDescent="0.2">
      <c r="B112" s="213" t="s">
        <v>70</v>
      </c>
      <c r="C112" s="161">
        <v>500</v>
      </c>
      <c r="D112" s="159">
        <f>D109-D111</f>
        <v>500</v>
      </c>
      <c r="E112" s="159">
        <f>E109-E111</f>
        <v>500</v>
      </c>
      <c r="F112" s="159">
        <f>F109-F111</f>
        <v>500</v>
      </c>
      <c r="G112" s="159">
        <f>G109-G111</f>
        <v>0</v>
      </c>
      <c r="H112" s="160">
        <v>0</v>
      </c>
    </row>
    <row r="113" spans="2:8" x14ac:dyDescent="0.2">
      <c r="B113" s="213"/>
      <c r="C113" s="154"/>
      <c r="D113" s="154"/>
      <c r="E113" s="154"/>
      <c r="F113" s="154"/>
      <c r="G113" s="154"/>
      <c r="H113" s="162"/>
    </row>
    <row r="114" spans="2:8" x14ac:dyDescent="0.2">
      <c r="B114" s="213" t="s">
        <v>69</v>
      </c>
      <c r="C114" s="149">
        <v>2.4E-2</v>
      </c>
      <c r="D114" s="149">
        <v>2.4E-2</v>
      </c>
      <c r="E114" s="149">
        <v>2.4E-2</v>
      </c>
      <c r="F114" s="149">
        <v>2.4E-2</v>
      </c>
      <c r="G114" s="149">
        <v>2.4E-2</v>
      </c>
      <c r="H114" s="151">
        <v>0</v>
      </c>
    </row>
    <row r="115" spans="2:8" x14ac:dyDescent="0.2">
      <c r="B115" s="213"/>
      <c r="C115" s="154"/>
      <c r="D115" s="154"/>
      <c r="E115" s="154"/>
      <c r="F115" s="154"/>
      <c r="G115" s="154"/>
      <c r="H115" s="162"/>
    </row>
    <row r="116" spans="2:8" x14ac:dyDescent="0.2">
      <c r="B116" s="213" t="s">
        <v>79</v>
      </c>
      <c r="C116" s="154"/>
      <c r="D116" s="157">
        <f>AVERAGE(D112,C112)</f>
        <v>500</v>
      </c>
      <c r="E116" s="157">
        <f>AVERAGE(E112,D112)</f>
        <v>500</v>
      </c>
      <c r="F116" s="157">
        <f>AVERAGE(F112,E112)</f>
        <v>500</v>
      </c>
      <c r="G116" s="157">
        <f>AVERAGE(G112,F112)</f>
        <v>250</v>
      </c>
      <c r="H116" s="158">
        <v>0</v>
      </c>
    </row>
    <row r="117" spans="2:8" x14ac:dyDescent="0.2">
      <c r="B117" s="264" t="s">
        <v>80</v>
      </c>
      <c r="C117" s="163"/>
      <c r="D117" s="164">
        <f>D116*D114</f>
        <v>12</v>
      </c>
      <c r="E117" s="164">
        <f>E114*E116</f>
        <v>12</v>
      </c>
      <c r="F117" s="164">
        <f>F114*F116</f>
        <v>12</v>
      </c>
      <c r="G117" s="164">
        <f>G114*G116</f>
        <v>6</v>
      </c>
      <c r="H117" s="165">
        <v>0</v>
      </c>
    </row>
    <row r="118" spans="2:8" x14ac:dyDescent="0.2">
      <c r="B118" s="213"/>
      <c r="C118" s="168"/>
      <c r="D118" s="169"/>
      <c r="E118" s="169"/>
      <c r="F118" s="169"/>
      <c r="G118" s="169"/>
      <c r="H118" s="170"/>
    </row>
    <row r="119" spans="2:8" x14ac:dyDescent="0.2">
      <c r="B119" s="265" t="s">
        <v>89</v>
      </c>
      <c r="C119" s="154"/>
      <c r="D119" s="155">
        <f>C122</f>
        <v>1000</v>
      </c>
      <c r="E119" s="155">
        <f>D122</f>
        <v>1000</v>
      </c>
      <c r="F119" s="155">
        <f>E119</f>
        <v>1000</v>
      </c>
      <c r="G119" s="155">
        <f>F119</f>
        <v>1000</v>
      </c>
      <c r="H119" s="156">
        <v>0</v>
      </c>
    </row>
    <row r="120" spans="2:8" x14ac:dyDescent="0.2">
      <c r="B120" s="213"/>
      <c r="C120" s="154"/>
      <c r="D120" s="155"/>
      <c r="E120" s="157"/>
      <c r="F120" s="157"/>
      <c r="G120" s="157"/>
      <c r="H120" s="158"/>
    </row>
    <row r="121" spans="2:8" x14ac:dyDescent="0.2">
      <c r="B121" s="213" t="s">
        <v>78</v>
      </c>
      <c r="C121" s="154"/>
      <c r="D121" s="159">
        <f>0</f>
        <v>0</v>
      </c>
      <c r="E121" s="126">
        <v>0</v>
      </c>
      <c r="F121" s="159">
        <v>0</v>
      </c>
      <c r="G121" s="159">
        <f>G119</f>
        <v>1000</v>
      </c>
      <c r="H121" s="160">
        <v>0</v>
      </c>
    </row>
    <row r="122" spans="2:8" x14ac:dyDescent="0.2">
      <c r="B122" s="213" t="s">
        <v>70</v>
      </c>
      <c r="C122" s="161">
        <v>1000</v>
      </c>
      <c r="D122" s="159">
        <f>D119-D121</f>
        <v>1000</v>
      </c>
      <c r="E122" s="159">
        <f>E119-E121</f>
        <v>1000</v>
      </c>
      <c r="F122" s="159">
        <f>F119-F121</f>
        <v>1000</v>
      </c>
      <c r="G122" s="159">
        <f>G119-G121</f>
        <v>0</v>
      </c>
      <c r="H122" s="160">
        <v>0</v>
      </c>
    </row>
    <row r="123" spans="2:8" x14ac:dyDescent="0.2">
      <c r="B123" s="213"/>
      <c r="C123" s="154"/>
      <c r="D123" s="154"/>
      <c r="E123" s="154"/>
      <c r="F123" s="154"/>
      <c r="G123" s="154"/>
      <c r="H123" s="162"/>
    </row>
    <row r="124" spans="2:8" x14ac:dyDescent="0.2">
      <c r="B124" s="213" t="s">
        <v>69</v>
      </c>
      <c r="C124" s="149">
        <v>2.6249999999999999E-2</v>
      </c>
      <c r="D124" s="149">
        <v>2.6249999999999999E-2</v>
      </c>
      <c r="E124" s="149">
        <v>2.6249999999999999E-2</v>
      </c>
      <c r="F124" s="149">
        <v>2.6249999999999999E-2</v>
      </c>
      <c r="G124" s="149">
        <v>2.6249999999999999E-2</v>
      </c>
      <c r="H124" s="151">
        <v>0</v>
      </c>
    </row>
    <row r="125" spans="2:8" x14ac:dyDescent="0.2">
      <c r="B125" s="213"/>
      <c r="C125" s="154"/>
      <c r="D125" s="154"/>
      <c r="E125" s="154"/>
      <c r="F125" s="154"/>
      <c r="G125" s="154"/>
      <c r="H125" s="162"/>
    </row>
    <row r="126" spans="2:8" x14ac:dyDescent="0.2">
      <c r="B126" s="213" t="s">
        <v>79</v>
      </c>
      <c r="C126" s="154"/>
      <c r="D126" s="157">
        <f>AVERAGE(D122,C122)</f>
        <v>1000</v>
      </c>
      <c r="E126" s="157">
        <f>AVERAGE(E122,D122)</f>
        <v>1000</v>
      </c>
      <c r="F126" s="157">
        <f>AVERAGE(F122,E122)</f>
        <v>1000</v>
      </c>
      <c r="G126" s="157">
        <f>AVERAGE(G122,F122)</f>
        <v>500</v>
      </c>
      <c r="H126" s="158">
        <v>0</v>
      </c>
    </row>
    <row r="127" spans="2:8" x14ac:dyDescent="0.2">
      <c r="B127" s="264" t="s">
        <v>80</v>
      </c>
      <c r="C127" s="163"/>
      <c r="D127" s="164">
        <f>D126*D124</f>
        <v>26.25</v>
      </c>
      <c r="E127" s="164">
        <f>E124*E126</f>
        <v>26.25</v>
      </c>
      <c r="F127" s="164">
        <f>F124*F126</f>
        <v>26.25</v>
      </c>
      <c r="G127" s="164">
        <f>G124*G126</f>
        <v>13.125</v>
      </c>
      <c r="H127" s="165">
        <v>0</v>
      </c>
    </row>
    <row r="128" spans="2:8" x14ac:dyDescent="0.2">
      <c r="B128" s="213"/>
      <c r="C128" s="168"/>
      <c r="D128" s="169"/>
      <c r="E128" s="169"/>
      <c r="F128" s="169"/>
      <c r="G128" s="169"/>
      <c r="H128" s="170"/>
    </row>
    <row r="129" spans="2:8" x14ac:dyDescent="0.2">
      <c r="B129" s="265" t="s">
        <v>90</v>
      </c>
      <c r="C129" s="154"/>
      <c r="D129" s="155">
        <f>C132</f>
        <v>2350</v>
      </c>
      <c r="E129" s="155">
        <f>D132</f>
        <v>2350</v>
      </c>
      <c r="F129" s="155">
        <f>E129</f>
        <v>2350</v>
      </c>
      <c r="G129" s="155">
        <f>F129</f>
        <v>2350</v>
      </c>
      <c r="H129" s="156">
        <v>0</v>
      </c>
    </row>
    <row r="130" spans="2:8" x14ac:dyDescent="0.2">
      <c r="B130" s="213"/>
      <c r="C130" s="154"/>
      <c r="D130" s="155"/>
      <c r="E130" s="157"/>
      <c r="F130" s="157"/>
      <c r="G130" s="157"/>
      <c r="H130" s="158"/>
    </row>
    <row r="131" spans="2:8" x14ac:dyDescent="0.2">
      <c r="B131" s="213" t="s">
        <v>78</v>
      </c>
      <c r="C131" s="154"/>
      <c r="D131" s="159">
        <f>0</f>
        <v>0</v>
      </c>
      <c r="E131" s="126">
        <v>0</v>
      </c>
      <c r="F131" s="159">
        <v>0</v>
      </c>
      <c r="G131" s="159">
        <f>G129</f>
        <v>2350</v>
      </c>
      <c r="H131" s="160">
        <v>0</v>
      </c>
    </row>
    <row r="132" spans="2:8" x14ac:dyDescent="0.2">
      <c r="B132" s="213" t="s">
        <v>70</v>
      </c>
      <c r="C132" s="161">
        <v>2350</v>
      </c>
      <c r="D132" s="159">
        <f>D129-D131</f>
        <v>2350</v>
      </c>
      <c r="E132" s="159">
        <f>E129-E131</f>
        <v>2350</v>
      </c>
      <c r="F132" s="159">
        <f>F129-F131</f>
        <v>2350</v>
      </c>
      <c r="G132" s="159">
        <f>G129-G131</f>
        <v>0</v>
      </c>
      <c r="H132" s="160">
        <v>0</v>
      </c>
    </row>
    <row r="133" spans="2:8" x14ac:dyDescent="0.2">
      <c r="B133" s="213"/>
      <c r="C133" s="154"/>
      <c r="D133" s="154"/>
      <c r="E133" s="154"/>
      <c r="F133" s="154"/>
      <c r="G133" s="154"/>
      <c r="H133" s="162"/>
    </row>
    <row r="134" spans="2:8" x14ac:dyDescent="0.2">
      <c r="B134" s="213" t="s">
        <v>69</v>
      </c>
      <c r="C134" s="149">
        <v>3.3750000000000002E-2</v>
      </c>
      <c r="D134" s="149">
        <v>3.3750000000000002E-2</v>
      </c>
      <c r="E134" s="149">
        <v>3.3750000000000002E-2</v>
      </c>
      <c r="F134" s="149">
        <v>3.3750000000000002E-2</v>
      </c>
      <c r="G134" s="149">
        <v>3.3750000000000002E-2</v>
      </c>
      <c r="H134" s="151">
        <v>0</v>
      </c>
    </row>
    <row r="135" spans="2:8" x14ac:dyDescent="0.2">
      <c r="B135" s="213"/>
      <c r="C135" s="154"/>
      <c r="D135" s="154"/>
      <c r="E135" s="154"/>
      <c r="F135" s="154"/>
      <c r="G135" s="154"/>
      <c r="H135" s="162"/>
    </row>
    <row r="136" spans="2:8" x14ac:dyDescent="0.2">
      <c r="B136" s="213" t="s">
        <v>79</v>
      </c>
      <c r="C136" s="154"/>
      <c r="D136" s="157">
        <f>AVERAGE(D132,C132)</f>
        <v>2350</v>
      </c>
      <c r="E136" s="157">
        <f>AVERAGE(E132,D132)</f>
        <v>2350</v>
      </c>
      <c r="F136" s="157">
        <f>AVERAGE(F132,E132)</f>
        <v>2350</v>
      </c>
      <c r="G136" s="157">
        <f>AVERAGE(G132,F132)</f>
        <v>1175</v>
      </c>
      <c r="H136" s="158">
        <v>0</v>
      </c>
    </row>
    <row r="137" spans="2:8" x14ac:dyDescent="0.2">
      <c r="B137" s="264" t="s">
        <v>80</v>
      </c>
      <c r="C137" s="163"/>
      <c r="D137" s="164">
        <f>D136*D134</f>
        <v>79.3125</v>
      </c>
      <c r="E137" s="164">
        <f>E134*E136</f>
        <v>79.3125</v>
      </c>
      <c r="F137" s="164">
        <f>F134*F136</f>
        <v>79.3125</v>
      </c>
      <c r="G137" s="164">
        <f>G134*G136</f>
        <v>39.65625</v>
      </c>
      <c r="H137" s="165">
        <v>0</v>
      </c>
    </row>
    <row r="138" spans="2:8" x14ac:dyDescent="0.2">
      <c r="B138" s="213"/>
      <c r="C138" s="168"/>
      <c r="D138" s="169"/>
      <c r="E138" s="169"/>
      <c r="F138" s="169"/>
      <c r="G138" s="169"/>
      <c r="H138" s="170"/>
    </row>
    <row r="139" spans="2:8" x14ac:dyDescent="0.2">
      <c r="B139" s="265" t="s">
        <v>91</v>
      </c>
      <c r="C139" s="154"/>
      <c r="D139" s="155">
        <f>C142</f>
        <v>705</v>
      </c>
      <c r="E139" s="155">
        <f>D142</f>
        <v>705</v>
      </c>
      <c r="F139" s="155">
        <f>E139</f>
        <v>705</v>
      </c>
      <c r="G139" s="155">
        <f>F139</f>
        <v>705</v>
      </c>
      <c r="H139" s="156">
        <v>0</v>
      </c>
    </row>
    <row r="140" spans="2:8" x14ac:dyDescent="0.2">
      <c r="B140" s="213"/>
      <c r="C140" s="154"/>
      <c r="D140" s="155"/>
      <c r="E140" s="157"/>
      <c r="F140" s="157"/>
      <c r="G140" s="157"/>
      <c r="H140" s="158"/>
    </row>
    <row r="141" spans="2:8" x14ac:dyDescent="0.2">
      <c r="B141" s="213" t="s">
        <v>78</v>
      </c>
      <c r="C141" s="154"/>
      <c r="D141" s="159">
        <f>0</f>
        <v>0</v>
      </c>
      <c r="E141" s="126">
        <v>0</v>
      </c>
      <c r="F141" s="159">
        <v>0</v>
      </c>
      <c r="G141" s="159">
        <f>G139</f>
        <v>705</v>
      </c>
      <c r="H141" s="160">
        <v>0</v>
      </c>
    </row>
    <row r="142" spans="2:8" x14ac:dyDescent="0.2">
      <c r="B142" s="213" t="s">
        <v>70</v>
      </c>
      <c r="C142" s="161">
        <v>705</v>
      </c>
      <c r="D142" s="159">
        <f>D139-D141</f>
        <v>705</v>
      </c>
      <c r="E142" s="159">
        <f>E139-E141</f>
        <v>705</v>
      </c>
      <c r="F142" s="159">
        <f>F139-F141</f>
        <v>705</v>
      </c>
      <c r="G142" s="159">
        <f>G139-G141</f>
        <v>0</v>
      </c>
      <c r="H142" s="160">
        <v>0</v>
      </c>
    </row>
    <row r="143" spans="2:8" x14ac:dyDescent="0.2">
      <c r="B143" s="213"/>
      <c r="C143" s="154"/>
      <c r="D143" s="154"/>
      <c r="E143" s="154"/>
      <c r="F143" s="154"/>
      <c r="G143" s="154"/>
      <c r="H143" s="162"/>
    </row>
    <row r="144" spans="2:8" x14ac:dyDescent="0.2">
      <c r="B144" s="213" t="s">
        <v>69</v>
      </c>
      <c r="C144" s="149">
        <v>3.5499999999999997E-2</v>
      </c>
      <c r="D144" s="149">
        <v>3.5499999999999997E-2</v>
      </c>
      <c r="E144" s="149">
        <v>3.5499999999999997E-2</v>
      </c>
      <c r="F144" s="149">
        <v>3.5499999999999997E-2</v>
      </c>
      <c r="G144" s="149">
        <v>3.5499999999999997E-2</v>
      </c>
      <c r="H144" s="151">
        <v>0</v>
      </c>
    </row>
    <row r="145" spans="2:8" x14ac:dyDescent="0.2">
      <c r="B145" s="213"/>
      <c r="C145" s="154"/>
      <c r="D145" s="154"/>
      <c r="E145" s="154"/>
      <c r="F145" s="154"/>
      <c r="G145" s="154"/>
      <c r="H145" s="162"/>
    </row>
    <row r="146" spans="2:8" x14ac:dyDescent="0.2">
      <c r="B146" s="213" t="s">
        <v>79</v>
      </c>
      <c r="C146" s="154"/>
      <c r="D146" s="157">
        <f>AVERAGE(D142,C142)</f>
        <v>705</v>
      </c>
      <c r="E146" s="157">
        <f>AVERAGE(E142,D142)</f>
        <v>705</v>
      </c>
      <c r="F146" s="157">
        <f>AVERAGE(F142,E142)</f>
        <v>705</v>
      </c>
      <c r="G146" s="157">
        <f>AVERAGE(G142,F142)</f>
        <v>352.5</v>
      </c>
      <c r="H146" s="158">
        <v>0</v>
      </c>
    </row>
    <row r="147" spans="2:8" x14ac:dyDescent="0.2">
      <c r="B147" s="264" t="s">
        <v>80</v>
      </c>
      <c r="C147" s="163"/>
      <c r="D147" s="164">
        <f>D146*D144</f>
        <v>25.027499999999996</v>
      </c>
      <c r="E147" s="164">
        <f>E144*E146</f>
        <v>25.027499999999996</v>
      </c>
      <c r="F147" s="164">
        <f>F144*F146</f>
        <v>25.027499999999996</v>
      </c>
      <c r="G147" s="164">
        <f>G144*G146</f>
        <v>12.513749999999998</v>
      </c>
      <c r="H147" s="165">
        <v>0</v>
      </c>
    </row>
    <row r="148" spans="2:8" x14ac:dyDescent="0.2">
      <c r="B148" s="213"/>
      <c r="C148" s="168"/>
      <c r="D148" s="169"/>
      <c r="E148" s="169"/>
      <c r="F148" s="169"/>
      <c r="G148" s="169"/>
      <c r="H148" s="170"/>
    </row>
    <row r="149" spans="2:8" x14ac:dyDescent="0.2">
      <c r="B149" s="265" t="s">
        <v>92</v>
      </c>
      <c r="C149" s="154"/>
      <c r="D149" s="155">
        <f>C152</f>
        <v>700</v>
      </c>
      <c r="E149" s="155">
        <f>D152</f>
        <v>700</v>
      </c>
      <c r="F149" s="155">
        <f>E149</f>
        <v>700</v>
      </c>
      <c r="G149" s="155">
        <f>F149</f>
        <v>700</v>
      </c>
      <c r="H149" s="156">
        <v>0</v>
      </c>
    </row>
    <row r="150" spans="2:8" x14ac:dyDescent="0.2">
      <c r="B150" s="213"/>
      <c r="C150" s="154"/>
      <c r="D150" s="155"/>
      <c r="E150" s="157"/>
      <c r="F150" s="157"/>
      <c r="G150" s="157"/>
      <c r="H150" s="158"/>
    </row>
    <row r="151" spans="2:8" x14ac:dyDescent="0.2">
      <c r="B151" s="213" t="s">
        <v>78</v>
      </c>
      <c r="C151" s="154"/>
      <c r="D151" s="159">
        <f>0</f>
        <v>0</v>
      </c>
      <c r="E151" s="126">
        <v>0</v>
      </c>
      <c r="F151" s="159">
        <v>0</v>
      </c>
      <c r="G151" s="159">
        <f>G149</f>
        <v>700</v>
      </c>
      <c r="H151" s="160">
        <v>0</v>
      </c>
    </row>
    <row r="152" spans="2:8" x14ac:dyDescent="0.2">
      <c r="B152" s="213" t="s">
        <v>70</v>
      </c>
      <c r="C152" s="161">
        <v>700</v>
      </c>
      <c r="D152" s="159">
        <f>D149-D151</f>
        <v>700</v>
      </c>
      <c r="E152" s="159">
        <f>E149-E151</f>
        <v>700</v>
      </c>
      <c r="F152" s="159">
        <f>F149-F151</f>
        <v>700</v>
      </c>
      <c r="G152" s="159">
        <f>G149-G151</f>
        <v>0</v>
      </c>
      <c r="H152" s="160">
        <v>0</v>
      </c>
    </row>
    <row r="153" spans="2:8" x14ac:dyDescent="0.2">
      <c r="B153" s="213"/>
      <c r="C153" s="154"/>
      <c r="D153" s="154"/>
      <c r="E153" s="154"/>
      <c r="F153" s="154"/>
      <c r="G153" s="154"/>
      <c r="H153" s="162"/>
    </row>
    <row r="154" spans="2:8" x14ac:dyDescent="0.2">
      <c r="B154" s="213" t="s">
        <v>69</v>
      </c>
      <c r="C154" s="149">
        <v>4.2000000000000003E-2</v>
      </c>
      <c r="D154" s="149">
        <v>4.2000000000000003E-2</v>
      </c>
      <c r="E154" s="149">
        <v>4.2000000000000003E-2</v>
      </c>
      <c r="F154" s="149">
        <v>4.2000000000000003E-2</v>
      </c>
      <c r="G154" s="149">
        <v>4.2000000000000003E-2</v>
      </c>
      <c r="H154" s="151">
        <v>0</v>
      </c>
    </row>
    <row r="155" spans="2:8" x14ac:dyDescent="0.2">
      <c r="B155" s="213"/>
      <c r="C155" s="154"/>
      <c r="D155" s="154"/>
      <c r="E155" s="154"/>
      <c r="F155" s="154"/>
      <c r="G155" s="154"/>
      <c r="H155" s="162"/>
    </row>
    <row r="156" spans="2:8" x14ac:dyDescent="0.2">
      <c r="B156" s="213" t="s">
        <v>79</v>
      </c>
      <c r="C156" s="154"/>
      <c r="D156" s="157">
        <f>AVERAGE(D152,C152)</f>
        <v>700</v>
      </c>
      <c r="E156" s="157">
        <f>AVERAGE(E152,D152)</f>
        <v>700</v>
      </c>
      <c r="F156" s="157">
        <f>AVERAGE(F152,E152)</f>
        <v>700</v>
      </c>
      <c r="G156" s="157">
        <f>AVERAGE(G152,F152)</f>
        <v>350</v>
      </c>
      <c r="H156" s="158">
        <v>0</v>
      </c>
    </row>
    <row r="157" spans="2:8" x14ac:dyDescent="0.2">
      <c r="B157" s="264" t="s">
        <v>80</v>
      </c>
      <c r="C157" s="163"/>
      <c r="D157" s="164">
        <f>D156*D154</f>
        <v>29.400000000000002</v>
      </c>
      <c r="E157" s="164">
        <f>E154*E156</f>
        <v>29.400000000000002</v>
      </c>
      <c r="F157" s="164">
        <f>F154*F156</f>
        <v>29.400000000000002</v>
      </c>
      <c r="G157" s="164">
        <f>G154*G156</f>
        <v>14.700000000000001</v>
      </c>
      <c r="H157" s="165">
        <v>0</v>
      </c>
    </row>
    <row r="158" spans="2:8" x14ac:dyDescent="0.2">
      <c r="B158" s="213"/>
      <c r="C158" s="168"/>
      <c r="D158" s="169"/>
      <c r="E158" s="169"/>
      <c r="F158" s="169"/>
      <c r="G158" s="169"/>
      <c r="H158" s="170"/>
    </row>
    <row r="159" spans="2:8" x14ac:dyDescent="0.2">
      <c r="B159" s="265" t="s">
        <v>93</v>
      </c>
      <c r="C159" s="154"/>
      <c r="D159" s="155">
        <f>C162</f>
        <v>500</v>
      </c>
      <c r="E159" s="155">
        <f>D162</f>
        <v>500</v>
      </c>
      <c r="F159" s="155">
        <f>E159</f>
        <v>500</v>
      </c>
      <c r="G159" s="155">
        <f>F159</f>
        <v>500</v>
      </c>
      <c r="H159" s="156">
        <v>0</v>
      </c>
    </row>
    <row r="160" spans="2:8" x14ac:dyDescent="0.2">
      <c r="B160" s="213"/>
      <c r="C160" s="154"/>
      <c r="D160" s="155"/>
      <c r="E160" s="157"/>
      <c r="F160" s="157"/>
      <c r="G160" s="157"/>
      <c r="H160" s="158"/>
    </row>
    <row r="161" spans="2:8" x14ac:dyDescent="0.2">
      <c r="B161" s="213" t="s">
        <v>78</v>
      </c>
      <c r="C161" s="154"/>
      <c r="D161" s="159">
        <f>0</f>
        <v>0</v>
      </c>
      <c r="E161" s="126">
        <v>0</v>
      </c>
      <c r="F161" s="159">
        <v>0</v>
      </c>
      <c r="G161" s="159">
        <f>G159</f>
        <v>500</v>
      </c>
      <c r="H161" s="160">
        <v>0</v>
      </c>
    </row>
    <row r="162" spans="2:8" x14ac:dyDescent="0.2">
      <c r="B162" s="213" t="s">
        <v>70</v>
      </c>
      <c r="C162" s="161">
        <v>500</v>
      </c>
      <c r="D162" s="159">
        <f>D159-D161</f>
        <v>500</v>
      </c>
      <c r="E162" s="159">
        <f>E159-E161</f>
        <v>500</v>
      </c>
      <c r="F162" s="159">
        <f>F159-F161</f>
        <v>500</v>
      </c>
      <c r="G162" s="159">
        <f>G159-G161</f>
        <v>0</v>
      </c>
      <c r="H162" s="160">
        <v>0</v>
      </c>
    </row>
    <row r="163" spans="2:8" x14ac:dyDescent="0.2">
      <c r="B163" s="213"/>
      <c r="C163" s="154"/>
      <c r="D163" s="154"/>
      <c r="E163" s="154"/>
      <c r="F163" s="154"/>
      <c r="G163" s="154"/>
      <c r="H163" s="162"/>
    </row>
    <row r="164" spans="2:8" x14ac:dyDescent="0.2">
      <c r="B164" s="213" t="s">
        <v>69</v>
      </c>
      <c r="C164" s="149">
        <v>4.2500000000000003E-2</v>
      </c>
      <c r="D164" s="149">
        <v>4.2500000000000003E-2</v>
      </c>
      <c r="E164" s="149">
        <v>4.2500000000000003E-2</v>
      </c>
      <c r="F164" s="149">
        <v>4.2500000000000003E-2</v>
      </c>
      <c r="G164" s="149">
        <v>4.2500000000000003E-2</v>
      </c>
      <c r="H164" s="151">
        <v>0</v>
      </c>
    </row>
    <row r="165" spans="2:8" x14ac:dyDescent="0.2">
      <c r="B165" s="213"/>
      <c r="C165" s="154"/>
      <c r="D165" s="154"/>
      <c r="E165" s="154"/>
      <c r="F165" s="154"/>
      <c r="G165" s="154"/>
      <c r="H165" s="162"/>
    </row>
    <row r="166" spans="2:8" x14ac:dyDescent="0.2">
      <c r="B166" s="213" t="s">
        <v>79</v>
      </c>
      <c r="C166" s="154"/>
      <c r="D166" s="157">
        <f>AVERAGE(D162,C162)</f>
        <v>500</v>
      </c>
      <c r="E166" s="157">
        <f>AVERAGE(E162,D162)</f>
        <v>500</v>
      </c>
      <c r="F166" s="157">
        <f>AVERAGE(F162,E162)</f>
        <v>500</v>
      </c>
      <c r="G166" s="157">
        <f>AVERAGE(G162,F162)</f>
        <v>250</v>
      </c>
      <c r="H166" s="158">
        <v>0</v>
      </c>
    </row>
    <row r="167" spans="2:8" x14ac:dyDescent="0.2">
      <c r="B167" s="264" t="s">
        <v>80</v>
      </c>
      <c r="C167" s="163"/>
      <c r="D167" s="164">
        <f>D166*D164</f>
        <v>21.25</v>
      </c>
      <c r="E167" s="164">
        <f>E164*E166</f>
        <v>21.25</v>
      </c>
      <c r="F167" s="164">
        <f>F164*F166</f>
        <v>21.25</v>
      </c>
      <c r="G167" s="164">
        <f>G164*G166</f>
        <v>10.625</v>
      </c>
      <c r="H167" s="165">
        <v>0</v>
      </c>
    </row>
    <row r="168" spans="2:8" x14ac:dyDescent="0.2">
      <c r="B168" s="213"/>
      <c r="C168" s="168"/>
      <c r="D168" s="169"/>
      <c r="E168" s="169"/>
      <c r="F168" s="169"/>
      <c r="G168" s="169"/>
      <c r="H168" s="170"/>
    </row>
    <row r="169" spans="2:8" x14ac:dyDescent="0.2">
      <c r="B169" s="265" t="s">
        <v>94</v>
      </c>
      <c r="C169" s="154"/>
      <c r="D169" s="155">
        <f>C172</f>
        <v>500</v>
      </c>
      <c r="E169" s="155">
        <f>D172</f>
        <v>500</v>
      </c>
      <c r="F169" s="155">
        <f>E169</f>
        <v>500</v>
      </c>
      <c r="G169" s="155">
        <f>F169</f>
        <v>500</v>
      </c>
      <c r="H169" s="156">
        <v>0</v>
      </c>
    </row>
    <row r="170" spans="2:8" x14ac:dyDescent="0.2">
      <c r="B170" s="213"/>
      <c r="C170" s="154"/>
      <c r="D170" s="155"/>
      <c r="E170" s="157"/>
      <c r="F170" s="157"/>
      <c r="G170" s="157"/>
      <c r="H170" s="158"/>
    </row>
    <row r="171" spans="2:8" x14ac:dyDescent="0.2">
      <c r="B171" s="213" t="s">
        <v>78</v>
      </c>
      <c r="C171" s="154"/>
      <c r="D171" s="159">
        <f>0</f>
        <v>0</v>
      </c>
      <c r="E171" s="126">
        <v>0</v>
      </c>
      <c r="F171" s="159">
        <v>0</v>
      </c>
      <c r="G171" s="159">
        <f>G169</f>
        <v>500</v>
      </c>
      <c r="H171" s="160">
        <v>0</v>
      </c>
    </row>
    <row r="172" spans="2:8" x14ac:dyDescent="0.2">
      <c r="B172" s="213" t="s">
        <v>70</v>
      </c>
      <c r="C172" s="161">
        <v>500</v>
      </c>
      <c r="D172" s="159">
        <f>D169-D171</f>
        <v>500</v>
      </c>
      <c r="E172" s="159">
        <f>E169-E171</f>
        <v>500</v>
      </c>
      <c r="F172" s="159">
        <f>F169-F171</f>
        <v>500</v>
      </c>
      <c r="G172" s="159">
        <f>G169-G171</f>
        <v>0</v>
      </c>
      <c r="H172" s="160">
        <v>0</v>
      </c>
    </row>
    <row r="173" spans="2:8" x14ac:dyDescent="0.2">
      <c r="B173" s="213"/>
      <c r="C173" s="154"/>
      <c r="D173" s="154"/>
      <c r="E173" s="154"/>
      <c r="F173" s="154"/>
      <c r="G173" s="154"/>
      <c r="H173" s="162"/>
    </row>
    <row r="174" spans="2:8" x14ac:dyDescent="0.2">
      <c r="B174" s="213" t="s">
        <v>69</v>
      </c>
      <c r="C174" s="149">
        <v>4.7399999999999998E-2</v>
      </c>
      <c r="D174" s="149">
        <v>4.7399999999999998E-2</v>
      </c>
      <c r="E174" s="149">
        <v>4.7399999999999998E-2</v>
      </c>
      <c r="F174" s="149">
        <v>4.7399999999999998E-2</v>
      </c>
      <c r="G174" s="149">
        <v>4.7399999999999998E-2</v>
      </c>
      <c r="H174" s="151">
        <v>0</v>
      </c>
    </row>
    <row r="175" spans="2:8" x14ac:dyDescent="0.2">
      <c r="B175" s="213"/>
      <c r="C175" s="154"/>
      <c r="D175" s="154"/>
      <c r="E175" s="154"/>
      <c r="F175" s="154"/>
      <c r="G175" s="154"/>
      <c r="H175" s="162"/>
    </row>
    <row r="176" spans="2:8" x14ac:dyDescent="0.2">
      <c r="B176" s="213" t="s">
        <v>79</v>
      </c>
      <c r="C176" s="154"/>
      <c r="D176" s="157">
        <f>AVERAGE(D172,C172)</f>
        <v>500</v>
      </c>
      <c r="E176" s="157">
        <f>AVERAGE(E172,D172)</f>
        <v>500</v>
      </c>
      <c r="F176" s="157">
        <f>AVERAGE(F172,E172)</f>
        <v>500</v>
      </c>
      <c r="G176" s="157">
        <f>AVERAGE(G172,F172)</f>
        <v>250</v>
      </c>
      <c r="H176" s="158">
        <v>0</v>
      </c>
    </row>
    <row r="177" spans="2:8" x14ac:dyDescent="0.2">
      <c r="B177" s="264" t="s">
        <v>80</v>
      </c>
      <c r="C177" s="163"/>
      <c r="D177" s="164">
        <f>D176*D174</f>
        <v>23.7</v>
      </c>
      <c r="E177" s="164">
        <f>E174*E176</f>
        <v>23.7</v>
      </c>
      <c r="F177" s="164">
        <f>F174*F176</f>
        <v>23.7</v>
      </c>
      <c r="G177" s="164">
        <f>G174*G176</f>
        <v>11.85</v>
      </c>
      <c r="H177" s="165">
        <v>0</v>
      </c>
    </row>
    <row r="178" spans="2:8" x14ac:dyDescent="0.2">
      <c r="B178" s="213"/>
      <c r="C178" s="168"/>
      <c r="D178" s="169"/>
      <c r="E178" s="169"/>
      <c r="F178" s="169"/>
      <c r="G178" s="169"/>
      <c r="H178" s="170"/>
    </row>
    <row r="179" spans="2:8" x14ac:dyDescent="0.2">
      <c r="B179" s="265" t="s">
        <v>95</v>
      </c>
      <c r="C179" s="154"/>
      <c r="D179" s="155">
        <f>C182</f>
        <v>1000</v>
      </c>
      <c r="E179" s="155">
        <f>D182</f>
        <v>1000</v>
      </c>
      <c r="F179" s="155">
        <f>E179</f>
        <v>1000</v>
      </c>
      <c r="G179" s="155">
        <f>F179</f>
        <v>1000</v>
      </c>
      <c r="H179" s="156">
        <v>0</v>
      </c>
    </row>
    <row r="180" spans="2:8" x14ac:dyDescent="0.2">
      <c r="B180" s="213"/>
      <c r="C180" s="154"/>
      <c r="D180" s="155"/>
      <c r="E180" s="157"/>
      <c r="F180" s="157"/>
      <c r="G180" s="157"/>
      <c r="H180" s="158"/>
    </row>
    <row r="181" spans="2:8" x14ac:dyDescent="0.2">
      <c r="B181" s="213" t="s">
        <v>78</v>
      </c>
      <c r="C181" s="154"/>
      <c r="D181" s="159">
        <f>0</f>
        <v>0</v>
      </c>
      <c r="E181" s="126">
        <v>0</v>
      </c>
      <c r="F181" s="159">
        <v>0</v>
      </c>
      <c r="G181" s="159">
        <f>G179</f>
        <v>1000</v>
      </c>
      <c r="H181" s="160">
        <v>0</v>
      </c>
    </row>
    <row r="182" spans="2:8" x14ac:dyDescent="0.2">
      <c r="B182" s="213" t="s">
        <v>70</v>
      </c>
      <c r="C182" s="161">
        <v>1000</v>
      </c>
      <c r="D182" s="159">
        <f>D179-D181</f>
        <v>1000</v>
      </c>
      <c r="E182" s="159">
        <f>E179-E181</f>
        <v>1000</v>
      </c>
      <c r="F182" s="159">
        <f>F179-F181</f>
        <v>1000</v>
      </c>
      <c r="G182" s="159">
        <f>G179-G181</f>
        <v>0</v>
      </c>
      <c r="H182" s="160">
        <v>0</v>
      </c>
    </row>
    <row r="183" spans="2:8" x14ac:dyDescent="0.2">
      <c r="B183" s="213"/>
      <c r="C183" s="154"/>
      <c r="D183" s="154"/>
      <c r="E183" s="154"/>
      <c r="F183" s="154"/>
      <c r="G183" s="154"/>
      <c r="H183" s="162"/>
    </row>
    <row r="184" spans="2:8" x14ac:dyDescent="0.2">
      <c r="B184" s="213" t="s">
        <v>69</v>
      </c>
      <c r="C184" s="149">
        <v>4.8500000000000001E-2</v>
      </c>
      <c r="D184" s="149">
        <v>4.8500000000000001E-2</v>
      </c>
      <c r="E184" s="149">
        <v>4.8500000000000001E-2</v>
      </c>
      <c r="F184" s="149">
        <v>4.8500000000000001E-2</v>
      </c>
      <c r="G184" s="149">
        <v>4.8500000000000001E-2</v>
      </c>
      <c r="H184" s="151">
        <v>0</v>
      </c>
    </row>
    <row r="185" spans="2:8" x14ac:dyDescent="0.2">
      <c r="B185" s="213"/>
      <c r="C185" s="154"/>
      <c r="D185" s="154"/>
      <c r="E185" s="154"/>
      <c r="F185" s="154"/>
      <c r="G185" s="154"/>
      <c r="H185" s="162"/>
    </row>
    <row r="186" spans="2:8" x14ac:dyDescent="0.2">
      <c r="B186" s="213" t="s">
        <v>79</v>
      </c>
      <c r="C186" s="154"/>
      <c r="D186" s="157">
        <f>AVERAGE(D182,C182)</f>
        <v>1000</v>
      </c>
      <c r="E186" s="157">
        <f>AVERAGE(E182,D182)</f>
        <v>1000</v>
      </c>
      <c r="F186" s="157">
        <f>AVERAGE(F182,E182)</f>
        <v>1000</v>
      </c>
      <c r="G186" s="157">
        <f>AVERAGE(G182,F182)</f>
        <v>500</v>
      </c>
      <c r="H186" s="158">
        <v>0</v>
      </c>
    </row>
    <row r="187" spans="2:8" x14ac:dyDescent="0.2">
      <c r="B187" s="264" t="s">
        <v>80</v>
      </c>
      <c r="C187" s="163"/>
      <c r="D187" s="164">
        <f>D186*D184</f>
        <v>48.5</v>
      </c>
      <c r="E187" s="164">
        <f>E184*E186</f>
        <v>48.5</v>
      </c>
      <c r="F187" s="164">
        <f>F184*F186</f>
        <v>48.5</v>
      </c>
      <c r="G187" s="164">
        <f>G184*G186</f>
        <v>24.25</v>
      </c>
      <c r="H187" s="165">
        <v>0</v>
      </c>
    </row>
    <row r="188" spans="2:8" x14ac:dyDescent="0.2">
      <c r="B188" s="213"/>
      <c r="C188" s="168"/>
      <c r="D188" s="169"/>
      <c r="E188" s="169"/>
      <c r="F188" s="169"/>
      <c r="G188" s="169"/>
      <c r="H188" s="170"/>
    </row>
    <row r="189" spans="2:8" x14ac:dyDescent="0.2">
      <c r="B189" s="265" t="s">
        <v>96</v>
      </c>
      <c r="C189" s="154"/>
      <c r="D189" s="155">
        <f>C192</f>
        <v>500</v>
      </c>
      <c r="E189" s="155">
        <f>D192</f>
        <v>500</v>
      </c>
      <c r="F189" s="155">
        <f>E189</f>
        <v>500</v>
      </c>
      <c r="G189" s="155">
        <f>F189</f>
        <v>500</v>
      </c>
      <c r="H189" s="156">
        <v>0</v>
      </c>
    </row>
    <row r="190" spans="2:8" x14ac:dyDescent="0.2">
      <c r="B190" s="213"/>
      <c r="C190" s="154"/>
      <c r="D190" s="155"/>
      <c r="E190" s="157"/>
      <c r="F190" s="157"/>
      <c r="G190" s="157"/>
      <c r="H190" s="158"/>
    </row>
    <row r="191" spans="2:8" x14ac:dyDescent="0.2">
      <c r="B191" s="213" t="s">
        <v>78</v>
      </c>
      <c r="C191" s="154"/>
      <c r="D191" s="159">
        <f>0</f>
        <v>0</v>
      </c>
      <c r="E191" s="126">
        <v>0</v>
      </c>
      <c r="F191" s="159">
        <v>0</v>
      </c>
      <c r="G191" s="159">
        <f>G189</f>
        <v>500</v>
      </c>
      <c r="H191" s="160">
        <v>0</v>
      </c>
    </row>
    <row r="192" spans="2:8" x14ac:dyDescent="0.2">
      <c r="B192" s="213" t="s">
        <v>70</v>
      </c>
      <c r="C192" s="161">
        <v>500</v>
      </c>
      <c r="D192" s="159">
        <f>D189-D191</f>
        <v>500</v>
      </c>
      <c r="E192" s="159">
        <f>E189-E191</f>
        <v>500</v>
      </c>
      <c r="F192" s="159">
        <f>F189-F191</f>
        <v>500</v>
      </c>
      <c r="G192" s="159">
        <f>G189-G191</f>
        <v>0</v>
      </c>
      <c r="H192" s="160">
        <v>0</v>
      </c>
    </row>
    <row r="193" spans="2:8" x14ac:dyDescent="0.2">
      <c r="B193" s="213"/>
      <c r="C193" s="154"/>
      <c r="D193" s="154"/>
      <c r="E193" s="154"/>
      <c r="F193" s="154"/>
      <c r="G193" s="154"/>
      <c r="H193" s="162"/>
    </row>
    <row r="194" spans="2:8" x14ac:dyDescent="0.2">
      <c r="B194" s="213" t="s">
        <v>69</v>
      </c>
      <c r="C194" s="149">
        <v>5.0500000000000003E-2</v>
      </c>
      <c r="D194" s="149">
        <v>5.0500000000000003E-2</v>
      </c>
      <c r="E194" s="149">
        <v>5.0500000000000003E-2</v>
      </c>
      <c r="F194" s="149">
        <v>5.0500000000000003E-2</v>
      </c>
      <c r="G194" s="149">
        <v>5.0500000000000003E-2</v>
      </c>
      <c r="H194" s="151">
        <v>0</v>
      </c>
    </row>
    <row r="195" spans="2:8" x14ac:dyDescent="0.2">
      <c r="B195" s="213"/>
      <c r="C195" s="154"/>
      <c r="D195" s="154"/>
      <c r="E195" s="154"/>
      <c r="F195" s="154"/>
      <c r="G195" s="154"/>
      <c r="H195" s="162"/>
    </row>
    <row r="196" spans="2:8" x14ac:dyDescent="0.2">
      <c r="B196" s="213" t="s">
        <v>79</v>
      </c>
      <c r="C196" s="154"/>
      <c r="D196" s="157">
        <f>AVERAGE(D192,C192)</f>
        <v>500</v>
      </c>
      <c r="E196" s="157">
        <f>AVERAGE(E192,D192)</f>
        <v>500</v>
      </c>
      <c r="F196" s="157">
        <f>AVERAGE(F192,E192)</f>
        <v>500</v>
      </c>
      <c r="G196" s="157">
        <f>AVERAGE(G192,F192)</f>
        <v>250</v>
      </c>
      <c r="H196" s="158">
        <v>0</v>
      </c>
    </row>
    <row r="197" spans="2:8" x14ac:dyDescent="0.2">
      <c r="B197" s="264" t="s">
        <v>80</v>
      </c>
      <c r="C197" s="163"/>
      <c r="D197" s="164">
        <f>D196*D194</f>
        <v>25.25</v>
      </c>
      <c r="E197" s="164">
        <f>E194*E196</f>
        <v>25.25</v>
      </c>
      <c r="F197" s="164">
        <f>F194*F196</f>
        <v>25.25</v>
      </c>
      <c r="G197" s="164">
        <f>G194*G196</f>
        <v>12.625</v>
      </c>
      <c r="H197" s="165">
        <v>0</v>
      </c>
    </row>
    <row r="198" spans="2:8" x14ac:dyDescent="0.2">
      <c r="B198" s="213"/>
      <c r="C198" s="168"/>
      <c r="D198" s="169"/>
      <c r="E198" s="169"/>
      <c r="F198" s="169"/>
      <c r="G198" s="169"/>
      <c r="H198" s="170"/>
    </row>
    <row r="199" spans="2:8" x14ac:dyDescent="0.2">
      <c r="B199" s="265" t="s">
        <v>97</v>
      </c>
      <c r="C199" s="154"/>
      <c r="D199" s="155">
        <f>C202</f>
        <v>7000</v>
      </c>
      <c r="E199" s="155">
        <f>D202</f>
        <v>7000</v>
      </c>
      <c r="F199" s="155">
        <f>E199</f>
        <v>7000</v>
      </c>
      <c r="G199" s="155">
        <f>F199</f>
        <v>7000</v>
      </c>
      <c r="H199" s="156">
        <f>G199</f>
        <v>7000</v>
      </c>
    </row>
    <row r="200" spans="2:8" x14ac:dyDescent="0.2">
      <c r="B200" s="213"/>
      <c r="C200" s="154"/>
      <c r="D200" s="155"/>
      <c r="E200" s="157"/>
      <c r="F200" s="157"/>
      <c r="G200" s="157"/>
      <c r="H200" s="158"/>
    </row>
    <row r="201" spans="2:8" x14ac:dyDescent="0.2">
      <c r="B201" s="213" t="s">
        <v>78</v>
      </c>
      <c r="C201" s="154"/>
      <c r="D201" s="159">
        <f>0</f>
        <v>0</v>
      </c>
      <c r="E201" s="126">
        <v>0</v>
      </c>
      <c r="F201" s="159">
        <v>0</v>
      </c>
      <c r="G201" s="159">
        <v>0</v>
      </c>
      <c r="H201" s="160">
        <f>G202</f>
        <v>7000</v>
      </c>
    </row>
    <row r="202" spans="2:8" x14ac:dyDescent="0.2">
      <c r="B202" s="213" t="s">
        <v>70</v>
      </c>
      <c r="C202" s="161">
        <v>7000</v>
      </c>
      <c r="D202" s="159">
        <f>D199-D201</f>
        <v>7000</v>
      </c>
      <c r="E202" s="159">
        <f>E199-E201</f>
        <v>7000</v>
      </c>
      <c r="F202" s="159">
        <f>F199-F201</f>
        <v>7000</v>
      </c>
      <c r="G202" s="159">
        <f>G199-G201</f>
        <v>7000</v>
      </c>
      <c r="H202" s="160">
        <v>0</v>
      </c>
    </row>
    <row r="203" spans="2:8" x14ac:dyDescent="0.2">
      <c r="B203" s="213"/>
      <c r="C203" s="154"/>
      <c r="D203" s="154"/>
      <c r="E203" s="154"/>
      <c r="F203" s="154"/>
      <c r="G203" s="154"/>
      <c r="H203" s="162"/>
    </row>
    <row r="204" spans="2:8" x14ac:dyDescent="0.2">
      <c r="B204" s="213" t="s">
        <v>69</v>
      </c>
      <c r="C204" s="149">
        <v>3.875E-2</v>
      </c>
      <c r="D204" s="149">
        <v>3.875E-2</v>
      </c>
      <c r="E204" s="149">
        <v>3.875E-2</v>
      </c>
      <c r="F204" s="149">
        <v>3.875E-2</v>
      </c>
      <c r="G204" s="149">
        <v>3.875E-2</v>
      </c>
      <c r="H204" s="171">
        <v>3.875E-2</v>
      </c>
    </row>
    <row r="205" spans="2:8" x14ac:dyDescent="0.2">
      <c r="B205" s="213"/>
      <c r="C205" s="154"/>
      <c r="D205" s="154"/>
      <c r="E205" s="154"/>
      <c r="F205" s="154"/>
      <c r="G205" s="154"/>
      <c r="H205" s="162"/>
    </row>
    <row r="206" spans="2:8" x14ac:dyDescent="0.2">
      <c r="B206" s="213" t="s">
        <v>79</v>
      </c>
      <c r="C206" s="154"/>
      <c r="D206" s="157">
        <f>AVERAGE(D202,C202)</f>
        <v>7000</v>
      </c>
      <c r="E206" s="157">
        <f>AVERAGE(E202,D202)</f>
        <v>7000</v>
      </c>
      <c r="F206" s="157">
        <f>AVERAGE(F202,E202)</f>
        <v>7000</v>
      </c>
      <c r="G206" s="157">
        <f>AVERAGE(G202,F202)</f>
        <v>7000</v>
      </c>
      <c r="H206" s="158">
        <f>AVERAGE(H202,G202)</f>
        <v>3500</v>
      </c>
    </row>
    <row r="207" spans="2:8" x14ac:dyDescent="0.2">
      <c r="B207" s="264" t="s">
        <v>80</v>
      </c>
      <c r="C207" s="163"/>
      <c r="D207" s="164">
        <f>D206*D204</f>
        <v>271.25</v>
      </c>
      <c r="E207" s="164">
        <f>E204*E206</f>
        <v>271.25</v>
      </c>
      <c r="F207" s="164">
        <f>F204*F206</f>
        <v>271.25</v>
      </c>
      <c r="G207" s="164">
        <f>G204*G206</f>
        <v>271.25</v>
      </c>
      <c r="H207" s="165">
        <f>H204*H206</f>
        <v>135.625</v>
      </c>
    </row>
    <row r="208" spans="2:8" x14ac:dyDescent="0.2">
      <c r="B208" s="213"/>
      <c r="C208" s="168"/>
      <c r="D208" s="169"/>
      <c r="E208" s="169"/>
      <c r="F208" s="169"/>
      <c r="G208" s="169"/>
      <c r="H208" s="170"/>
    </row>
    <row r="209" spans="2:8" x14ac:dyDescent="0.2">
      <c r="B209" s="265" t="s">
        <v>98</v>
      </c>
      <c r="C209" s="154"/>
      <c r="D209" s="155">
        <f>C212</f>
        <v>500</v>
      </c>
      <c r="E209" s="155">
        <f>D212</f>
        <v>500</v>
      </c>
      <c r="F209" s="155">
        <f>E209</f>
        <v>500</v>
      </c>
      <c r="G209" s="155">
        <f>F209</f>
        <v>500</v>
      </c>
      <c r="H209" s="156">
        <f>G209</f>
        <v>500</v>
      </c>
    </row>
    <row r="210" spans="2:8" x14ac:dyDescent="0.2">
      <c r="B210" s="213"/>
      <c r="C210" s="154"/>
      <c r="D210" s="155"/>
      <c r="E210" s="157"/>
      <c r="F210" s="157"/>
      <c r="G210" s="157"/>
      <c r="H210" s="158"/>
    </row>
    <row r="211" spans="2:8" x14ac:dyDescent="0.2">
      <c r="B211" s="213" t="s">
        <v>78</v>
      </c>
      <c r="C211" s="154"/>
      <c r="D211" s="159">
        <f>0</f>
        <v>0</v>
      </c>
      <c r="E211" s="126">
        <v>0</v>
      </c>
      <c r="F211" s="159">
        <v>0</v>
      </c>
      <c r="G211" s="159">
        <v>0</v>
      </c>
      <c r="H211" s="160">
        <f>G212</f>
        <v>500</v>
      </c>
    </row>
    <row r="212" spans="2:8" x14ac:dyDescent="0.2">
      <c r="B212" s="213" t="s">
        <v>70</v>
      </c>
      <c r="C212" s="161">
        <v>500</v>
      </c>
      <c r="D212" s="159">
        <f>D209-D211</f>
        <v>500</v>
      </c>
      <c r="E212" s="159">
        <f>E209-E211</f>
        <v>500</v>
      </c>
      <c r="F212" s="159">
        <f>F209-F211</f>
        <v>500</v>
      </c>
      <c r="G212" s="159">
        <f>G209-G211</f>
        <v>500</v>
      </c>
      <c r="H212" s="160">
        <v>0</v>
      </c>
    </row>
    <row r="213" spans="2:8" x14ac:dyDescent="0.2">
      <c r="B213" s="213"/>
      <c r="C213" s="154"/>
      <c r="D213" s="154"/>
      <c r="E213" s="154"/>
      <c r="F213" s="154"/>
      <c r="G213" s="154"/>
      <c r="H213" s="162"/>
    </row>
    <row r="214" spans="2:8" x14ac:dyDescent="0.2">
      <c r="B214" s="213" t="s">
        <v>69</v>
      </c>
      <c r="C214" s="149">
        <v>4.3400000000000001E-2</v>
      </c>
      <c r="D214" s="149">
        <v>4.3400000000000001E-2</v>
      </c>
      <c r="E214" s="149">
        <v>4.3400000000000001E-2</v>
      </c>
      <c r="F214" s="149">
        <v>4.3400000000000001E-2</v>
      </c>
      <c r="G214" s="149">
        <v>4.3400000000000001E-2</v>
      </c>
      <c r="H214" s="171">
        <v>4.3400000000000001E-2</v>
      </c>
    </row>
    <row r="215" spans="2:8" x14ac:dyDescent="0.2">
      <c r="B215" s="213"/>
      <c r="C215" s="154"/>
      <c r="D215" s="154"/>
      <c r="E215" s="154"/>
      <c r="F215" s="154"/>
      <c r="G215" s="154"/>
      <c r="H215" s="162"/>
    </row>
    <row r="216" spans="2:8" x14ac:dyDescent="0.2">
      <c r="B216" s="213" t="s">
        <v>79</v>
      </c>
      <c r="C216" s="154"/>
      <c r="D216" s="157">
        <f>AVERAGE(D212,C212)</f>
        <v>500</v>
      </c>
      <c r="E216" s="157">
        <f>AVERAGE(E212,D212)</f>
        <v>500</v>
      </c>
      <c r="F216" s="157">
        <f>AVERAGE(F212,E212)</f>
        <v>500</v>
      </c>
      <c r="G216" s="157">
        <f>AVERAGE(G212,F212)</f>
        <v>500</v>
      </c>
      <c r="H216" s="158">
        <f>AVERAGE(H212,G212)</f>
        <v>250</v>
      </c>
    </row>
    <row r="217" spans="2:8" x14ac:dyDescent="0.2">
      <c r="B217" s="264" t="s">
        <v>80</v>
      </c>
      <c r="C217" s="163"/>
      <c r="D217" s="164">
        <f>D216*D214</f>
        <v>21.7</v>
      </c>
      <c r="E217" s="164">
        <f>E214*E216</f>
        <v>21.7</v>
      </c>
      <c r="F217" s="164">
        <f>F214*F216</f>
        <v>21.7</v>
      </c>
      <c r="G217" s="164">
        <f>G214*G216</f>
        <v>21.7</v>
      </c>
      <c r="H217" s="165">
        <f>H214*H216</f>
        <v>10.85</v>
      </c>
    </row>
    <row r="218" spans="2:8" x14ac:dyDescent="0.2">
      <c r="B218" s="213"/>
      <c r="C218" s="168"/>
      <c r="D218" s="169"/>
      <c r="E218" s="169"/>
      <c r="F218" s="169"/>
      <c r="G218" s="169"/>
      <c r="H218" s="170"/>
    </row>
    <row r="219" spans="2:8" x14ac:dyDescent="0.2">
      <c r="B219" s="265" t="s">
        <v>99</v>
      </c>
      <c r="C219" s="154"/>
      <c r="D219" s="155">
        <f>C222</f>
        <v>1000</v>
      </c>
      <c r="E219" s="155">
        <f>D222</f>
        <v>1000</v>
      </c>
      <c r="F219" s="155">
        <f>E219</f>
        <v>1000</v>
      </c>
      <c r="G219" s="155">
        <f>F219</f>
        <v>1000</v>
      </c>
      <c r="H219" s="156">
        <f>G219</f>
        <v>1000</v>
      </c>
    </row>
    <row r="220" spans="2:8" x14ac:dyDescent="0.2">
      <c r="B220" s="213"/>
      <c r="C220" s="154"/>
      <c r="D220" s="155"/>
      <c r="E220" s="157"/>
      <c r="F220" s="157"/>
      <c r="G220" s="157"/>
      <c r="H220" s="158"/>
    </row>
    <row r="221" spans="2:8" x14ac:dyDescent="0.2">
      <c r="B221" s="213" t="s">
        <v>78</v>
      </c>
      <c r="C221" s="154"/>
      <c r="D221" s="159">
        <f>0</f>
        <v>0</v>
      </c>
      <c r="E221" s="126">
        <v>0</v>
      </c>
      <c r="F221" s="159">
        <v>0</v>
      </c>
      <c r="G221" s="159">
        <v>0</v>
      </c>
      <c r="H221" s="160">
        <v>0</v>
      </c>
    </row>
    <row r="222" spans="2:8" x14ac:dyDescent="0.2">
      <c r="B222" s="213" t="s">
        <v>70</v>
      </c>
      <c r="C222" s="161">
        <v>1000</v>
      </c>
      <c r="D222" s="159">
        <f>D219-D221</f>
        <v>1000</v>
      </c>
      <c r="E222" s="159">
        <f>E219-E221</f>
        <v>1000</v>
      </c>
      <c r="F222" s="159">
        <f>F219-F221</f>
        <v>1000</v>
      </c>
      <c r="G222" s="159">
        <f>G219-G221</f>
        <v>1000</v>
      </c>
      <c r="H222" s="160">
        <f>D219</f>
        <v>1000</v>
      </c>
    </row>
    <row r="223" spans="2:8" x14ac:dyDescent="0.2">
      <c r="B223" s="213"/>
      <c r="C223" s="154"/>
      <c r="D223" s="154"/>
      <c r="E223" s="154"/>
      <c r="F223" s="154"/>
      <c r="G223" s="154"/>
      <c r="H223" s="162"/>
    </row>
    <row r="224" spans="2:8" x14ac:dyDescent="0.2">
      <c r="B224" s="213" t="s">
        <v>69</v>
      </c>
      <c r="C224" s="149">
        <v>2.2499999999999999E-2</v>
      </c>
      <c r="D224" s="149">
        <v>2.2499999999999999E-2</v>
      </c>
      <c r="E224" s="149">
        <v>2.2499999999999999E-2</v>
      </c>
      <c r="F224" s="149">
        <v>2.2499999999999999E-2</v>
      </c>
      <c r="G224" s="149">
        <v>2.2499999999999999E-2</v>
      </c>
      <c r="H224" s="171">
        <v>2.2499999999999999E-2</v>
      </c>
    </row>
    <row r="225" spans="2:8" x14ac:dyDescent="0.2">
      <c r="B225" s="213"/>
      <c r="C225" s="154"/>
      <c r="D225" s="154"/>
      <c r="E225" s="154"/>
      <c r="F225" s="154"/>
      <c r="G225" s="154"/>
      <c r="H225" s="162"/>
    </row>
    <row r="226" spans="2:8" x14ac:dyDescent="0.2">
      <c r="B226" s="213" t="s">
        <v>79</v>
      </c>
      <c r="C226" s="154"/>
      <c r="D226" s="157">
        <f>AVERAGE(D222,C222)</f>
        <v>1000</v>
      </c>
      <c r="E226" s="157">
        <f>AVERAGE(E222,D222)</f>
        <v>1000</v>
      </c>
      <c r="F226" s="157">
        <f>AVERAGE(F222,E222)</f>
        <v>1000</v>
      </c>
      <c r="G226" s="157">
        <f>AVERAGE(G222,F222)</f>
        <v>1000</v>
      </c>
      <c r="H226" s="158">
        <f>AVERAGE(H222,G222)</f>
        <v>1000</v>
      </c>
    </row>
    <row r="227" spans="2:8" x14ac:dyDescent="0.2">
      <c r="B227" s="264" t="s">
        <v>80</v>
      </c>
      <c r="C227" s="163"/>
      <c r="D227" s="164">
        <f>D226*D224</f>
        <v>22.5</v>
      </c>
      <c r="E227" s="164">
        <f>E224*E226</f>
        <v>22.5</v>
      </c>
      <c r="F227" s="164">
        <f>F224*F226</f>
        <v>22.5</v>
      </c>
      <c r="G227" s="164">
        <f>G224*G226</f>
        <v>22.5</v>
      </c>
      <c r="H227" s="165">
        <f>H224*H226</f>
        <v>22.5</v>
      </c>
    </row>
    <row r="228" spans="2:8" x14ac:dyDescent="0.2">
      <c r="B228" s="213"/>
      <c r="C228" s="168"/>
      <c r="D228" s="169"/>
      <c r="E228" s="169"/>
      <c r="F228" s="169"/>
      <c r="G228" s="169"/>
      <c r="H228" s="170"/>
    </row>
    <row r="229" spans="2:8" x14ac:dyDescent="0.2">
      <c r="B229" s="265" t="s">
        <v>100</v>
      </c>
      <c r="C229" s="154"/>
      <c r="D229" s="155">
        <f>C232</f>
        <v>2500</v>
      </c>
      <c r="E229" s="155">
        <f>D232</f>
        <v>2500</v>
      </c>
      <c r="F229" s="155">
        <f>E229</f>
        <v>2500</v>
      </c>
      <c r="G229" s="155">
        <f>F229</f>
        <v>2500</v>
      </c>
      <c r="H229" s="156">
        <f>G229</f>
        <v>2500</v>
      </c>
    </row>
    <row r="230" spans="2:8" x14ac:dyDescent="0.2">
      <c r="B230" s="213"/>
      <c r="C230" s="154"/>
      <c r="D230" s="155"/>
      <c r="E230" s="157"/>
      <c r="F230" s="157"/>
      <c r="G230" s="157"/>
      <c r="H230" s="158"/>
    </row>
    <row r="231" spans="2:8" x14ac:dyDescent="0.2">
      <c r="B231" s="213" t="s">
        <v>78</v>
      </c>
      <c r="C231" s="154"/>
      <c r="D231" s="159">
        <f>0</f>
        <v>0</v>
      </c>
      <c r="E231" s="126">
        <v>0</v>
      </c>
      <c r="F231" s="159">
        <v>0</v>
      </c>
      <c r="G231" s="159">
        <v>0</v>
      </c>
      <c r="H231" s="160">
        <v>0</v>
      </c>
    </row>
    <row r="232" spans="2:8" x14ac:dyDescent="0.2">
      <c r="B232" s="213" t="s">
        <v>70</v>
      </c>
      <c r="C232" s="161">
        <v>2500</v>
      </c>
      <c r="D232" s="159">
        <f>D229-D231</f>
        <v>2500</v>
      </c>
      <c r="E232" s="159">
        <f>E229-E231</f>
        <v>2500</v>
      </c>
      <c r="F232" s="159">
        <f>F229-F231</f>
        <v>2500</v>
      </c>
      <c r="G232" s="159">
        <f>G229-G231</f>
        <v>2500</v>
      </c>
      <c r="H232" s="160">
        <f>D229</f>
        <v>2500</v>
      </c>
    </row>
    <row r="233" spans="2:8" x14ac:dyDescent="0.2">
      <c r="B233" s="213"/>
      <c r="C233" s="154"/>
      <c r="D233" s="154"/>
      <c r="E233" s="154"/>
      <c r="F233" s="154"/>
      <c r="G233" s="154"/>
      <c r="H233" s="162"/>
    </row>
    <row r="234" spans="2:8" x14ac:dyDescent="0.2">
      <c r="B234" s="213" t="s">
        <v>69</v>
      </c>
      <c r="C234" s="149">
        <v>2.5499999999999998E-2</v>
      </c>
      <c r="D234" s="149">
        <v>2.5499999999999998E-2</v>
      </c>
      <c r="E234" s="149">
        <v>2.5499999999999998E-2</v>
      </c>
      <c r="F234" s="149">
        <v>2.5499999999999998E-2</v>
      </c>
      <c r="G234" s="149">
        <v>2.5499999999999998E-2</v>
      </c>
      <c r="H234" s="171">
        <v>2.5499999999999998E-2</v>
      </c>
    </row>
    <row r="235" spans="2:8" x14ac:dyDescent="0.2">
      <c r="B235" s="213"/>
      <c r="C235" s="154"/>
      <c r="D235" s="154"/>
      <c r="E235" s="154"/>
      <c r="F235" s="154"/>
      <c r="G235" s="154"/>
      <c r="H235" s="162"/>
    </row>
    <row r="236" spans="2:8" x14ac:dyDescent="0.2">
      <c r="B236" s="213" t="s">
        <v>79</v>
      </c>
      <c r="C236" s="154"/>
      <c r="D236" s="157">
        <f>AVERAGE(D232,C232)</f>
        <v>2500</v>
      </c>
      <c r="E236" s="157">
        <f>AVERAGE(E232,D232)</f>
        <v>2500</v>
      </c>
      <c r="F236" s="157">
        <f>AVERAGE(F232,E232)</f>
        <v>2500</v>
      </c>
      <c r="G236" s="157">
        <f>AVERAGE(G232,F232)</f>
        <v>2500</v>
      </c>
      <c r="H236" s="158">
        <f>AVERAGE(H232,G232)</f>
        <v>2500</v>
      </c>
    </row>
    <row r="237" spans="2:8" x14ac:dyDescent="0.2">
      <c r="B237" s="264" t="s">
        <v>80</v>
      </c>
      <c r="C237" s="163"/>
      <c r="D237" s="164">
        <f>D236*D234</f>
        <v>63.749999999999993</v>
      </c>
      <c r="E237" s="164">
        <f>E234*E236</f>
        <v>63.749999999999993</v>
      </c>
      <c r="F237" s="164">
        <f>F234*F236</f>
        <v>63.749999999999993</v>
      </c>
      <c r="G237" s="164">
        <f>G234*G236</f>
        <v>63.749999999999993</v>
      </c>
      <c r="H237" s="165">
        <f>H234*H236</f>
        <v>63.749999999999993</v>
      </c>
    </row>
    <row r="238" spans="2:8" x14ac:dyDescent="0.2">
      <c r="B238" s="213"/>
      <c r="C238" s="168"/>
      <c r="D238" s="169"/>
      <c r="E238" s="169"/>
      <c r="F238" s="169"/>
      <c r="G238" s="169"/>
      <c r="H238" s="170"/>
    </row>
    <row r="239" spans="2:8" x14ac:dyDescent="0.2">
      <c r="B239" s="265" t="s">
        <v>101</v>
      </c>
      <c r="C239" s="154"/>
      <c r="D239" s="155">
        <f>C242</f>
        <v>1000</v>
      </c>
      <c r="E239" s="155">
        <f>D242</f>
        <v>1000</v>
      </c>
      <c r="F239" s="155">
        <f>E239</f>
        <v>1000</v>
      </c>
      <c r="G239" s="155">
        <f>F239</f>
        <v>1000</v>
      </c>
      <c r="H239" s="156">
        <f>G239</f>
        <v>1000</v>
      </c>
    </row>
    <row r="240" spans="2:8" x14ac:dyDescent="0.2">
      <c r="B240" s="213"/>
      <c r="C240" s="154"/>
      <c r="D240" s="155"/>
      <c r="E240" s="157"/>
      <c r="F240" s="157"/>
      <c r="G240" s="157"/>
      <c r="H240" s="158"/>
    </row>
    <row r="241" spans="2:8" x14ac:dyDescent="0.2">
      <c r="B241" s="213" t="s">
        <v>78</v>
      </c>
      <c r="C241" s="154"/>
      <c r="D241" s="159">
        <f>0</f>
        <v>0</v>
      </c>
      <c r="E241" s="126">
        <v>0</v>
      </c>
      <c r="F241" s="159">
        <v>0</v>
      </c>
      <c r="G241" s="159">
        <v>0</v>
      </c>
      <c r="H241" s="160">
        <v>0</v>
      </c>
    </row>
    <row r="242" spans="2:8" x14ac:dyDescent="0.2">
      <c r="B242" s="213" t="s">
        <v>70</v>
      </c>
      <c r="C242" s="161">
        <v>1000</v>
      </c>
      <c r="D242" s="159">
        <f>D239-D241</f>
        <v>1000</v>
      </c>
      <c r="E242" s="159">
        <f>E239-E241</f>
        <v>1000</v>
      </c>
      <c r="F242" s="159">
        <f>F239-F241</f>
        <v>1000</v>
      </c>
      <c r="G242" s="159">
        <f>G239-G241</f>
        <v>1000</v>
      </c>
      <c r="H242" s="160">
        <f>D239</f>
        <v>1000</v>
      </c>
    </row>
    <row r="243" spans="2:8" x14ac:dyDescent="0.2">
      <c r="B243" s="213"/>
      <c r="C243" s="154"/>
      <c r="D243" s="154"/>
      <c r="E243" s="154"/>
      <c r="F243" s="154"/>
      <c r="G243" s="154"/>
      <c r="H243" s="162"/>
    </row>
    <row r="244" spans="2:8" x14ac:dyDescent="0.2">
      <c r="B244" s="213" t="s">
        <v>69</v>
      </c>
      <c r="C244" s="149">
        <v>2.8750000000000001E-2</v>
      </c>
      <c r="D244" s="149">
        <v>2.8750000000000001E-2</v>
      </c>
      <c r="E244" s="149">
        <v>2.8750000000000001E-2</v>
      </c>
      <c r="F244" s="149">
        <v>2.8750000000000001E-2</v>
      </c>
      <c r="G244" s="149">
        <v>2.8750000000000001E-2</v>
      </c>
      <c r="H244" s="171">
        <v>2.8750000000000001E-2</v>
      </c>
    </row>
    <row r="245" spans="2:8" x14ac:dyDescent="0.2">
      <c r="B245" s="213"/>
      <c r="C245" s="154"/>
      <c r="D245" s="154"/>
      <c r="E245" s="154"/>
      <c r="F245" s="154"/>
      <c r="G245" s="154"/>
      <c r="H245" s="162"/>
    </row>
    <row r="246" spans="2:8" x14ac:dyDescent="0.2">
      <c r="B246" s="213" t="s">
        <v>79</v>
      </c>
      <c r="C246" s="154"/>
      <c r="D246" s="157">
        <f>AVERAGE(D242,C242)</f>
        <v>1000</v>
      </c>
      <c r="E246" s="157">
        <f>AVERAGE(E242,D242)</f>
        <v>1000</v>
      </c>
      <c r="F246" s="157">
        <f>AVERAGE(F242,E242)</f>
        <v>1000</v>
      </c>
      <c r="G246" s="157">
        <f>AVERAGE(G242,F242)</f>
        <v>1000</v>
      </c>
      <c r="H246" s="158">
        <f>AVERAGE(H242,G242)</f>
        <v>1000</v>
      </c>
    </row>
    <row r="247" spans="2:8" x14ac:dyDescent="0.2">
      <c r="B247" s="264" t="s">
        <v>80</v>
      </c>
      <c r="C247" s="163"/>
      <c r="D247" s="164">
        <f>D246*D244</f>
        <v>28.75</v>
      </c>
      <c r="E247" s="164">
        <f>E244*E246</f>
        <v>28.75</v>
      </c>
      <c r="F247" s="164">
        <f>F244*F246</f>
        <v>28.75</v>
      </c>
      <c r="G247" s="164">
        <f>G244*G246</f>
        <v>28.75</v>
      </c>
      <c r="H247" s="165">
        <f>H244*H246</f>
        <v>28.75</v>
      </c>
    </row>
    <row r="248" spans="2:8" x14ac:dyDescent="0.2">
      <c r="B248" s="213"/>
      <c r="C248" s="168"/>
      <c r="D248" s="169"/>
      <c r="E248" s="169"/>
      <c r="F248" s="169"/>
      <c r="G248" s="169"/>
      <c r="H248" s="170"/>
    </row>
    <row r="249" spans="2:8" x14ac:dyDescent="0.2">
      <c r="B249" s="265" t="s">
        <v>102</v>
      </c>
      <c r="C249" s="154"/>
      <c r="D249" s="155">
        <f>C252</f>
        <v>2450</v>
      </c>
      <c r="E249" s="155">
        <f>D252</f>
        <v>2450</v>
      </c>
      <c r="F249" s="155">
        <f>E249</f>
        <v>2450</v>
      </c>
      <c r="G249" s="155">
        <f>F249</f>
        <v>2450</v>
      </c>
      <c r="H249" s="156">
        <f>G249</f>
        <v>2450</v>
      </c>
    </row>
    <row r="250" spans="2:8" x14ac:dyDescent="0.2">
      <c r="B250" s="213"/>
      <c r="C250" s="154"/>
      <c r="D250" s="155"/>
      <c r="E250" s="157"/>
      <c r="F250" s="157"/>
      <c r="G250" s="157"/>
      <c r="H250" s="158"/>
    </row>
    <row r="251" spans="2:8" x14ac:dyDescent="0.2">
      <c r="B251" s="213" t="s">
        <v>78</v>
      </c>
      <c r="C251" s="154"/>
      <c r="D251" s="159">
        <f>0</f>
        <v>0</v>
      </c>
      <c r="E251" s="126">
        <v>0</v>
      </c>
      <c r="F251" s="159">
        <v>0</v>
      </c>
      <c r="G251" s="159">
        <v>0</v>
      </c>
      <c r="H251" s="160">
        <v>0</v>
      </c>
    </row>
    <row r="252" spans="2:8" x14ac:dyDescent="0.2">
      <c r="B252" s="213" t="s">
        <v>70</v>
      </c>
      <c r="C252" s="161">
        <v>2450</v>
      </c>
      <c r="D252" s="159">
        <f>D249-D251</f>
        <v>2450</v>
      </c>
      <c r="E252" s="159">
        <f>E249-E251</f>
        <v>2450</v>
      </c>
      <c r="F252" s="159">
        <f>F249-F251</f>
        <v>2450</v>
      </c>
      <c r="G252" s="159">
        <f>G249-G251</f>
        <v>2450</v>
      </c>
      <c r="H252" s="160">
        <f>D249</f>
        <v>2450</v>
      </c>
    </row>
    <row r="253" spans="2:8" x14ac:dyDescent="0.2">
      <c r="B253" s="213"/>
      <c r="C253" s="154"/>
      <c r="D253" s="154"/>
      <c r="E253" s="154"/>
      <c r="F253" s="154"/>
      <c r="G253" s="154"/>
      <c r="H253" s="162"/>
    </row>
    <row r="254" spans="2:8" x14ac:dyDescent="0.2">
      <c r="B254" s="213" t="s">
        <v>69</v>
      </c>
      <c r="C254" s="149">
        <v>3.5000000000000003E-2</v>
      </c>
      <c r="D254" s="149">
        <v>3.5000000000000003E-2</v>
      </c>
      <c r="E254" s="149">
        <v>3.5000000000000003E-2</v>
      </c>
      <c r="F254" s="149">
        <v>3.5000000000000003E-2</v>
      </c>
      <c r="G254" s="149">
        <v>3.5000000000000003E-2</v>
      </c>
      <c r="H254" s="171">
        <v>3.5000000000000003E-2</v>
      </c>
    </row>
    <row r="255" spans="2:8" x14ac:dyDescent="0.2">
      <c r="B255" s="213"/>
      <c r="C255" s="154"/>
      <c r="D255" s="154"/>
      <c r="E255" s="154"/>
      <c r="F255" s="154"/>
      <c r="G255" s="154"/>
      <c r="H255" s="162"/>
    </row>
    <row r="256" spans="2:8" x14ac:dyDescent="0.2">
      <c r="B256" s="213" t="s">
        <v>79</v>
      </c>
      <c r="C256" s="154"/>
      <c r="D256" s="157">
        <f>AVERAGE(D252,C252)</f>
        <v>2450</v>
      </c>
      <c r="E256" s="157">
        <f>AVERAGE(E252,D252)</f>
        <v>2450</v>
      </c>
      <c r="F256" s="157">
        <f>AVERAGE(F252,E252)</f>
        <v>2450</v>
      </c>
      <c r="G256" s="157">
        <f>AVERAGE(G252,F252)</f>
        <v>2450</v>
      </c>
      <c r="H256" s="158">
        <f>AVERAGE(H252,G252)</f>
        <v>2450</v>
      </c>
    </row>
    <row r="257" spans="2:8" x14ac:dyDescent="0.2">
      <c r="B257" s="264" t="s">
        <v>80</v>
      </c>
      <c r="C257" s="163"/>
      <c r="D257" s="164">
        <f>D256*D254</f>
        <v>85.750000000000014</v>
      </c>
      <c r="E257" s="164">
        <f>E254*E256</f>
        <v>85.750000000000014</v>
      </c>
      <c r="F257" s="164">
        <f>F254*F256</f>
        <v>85.750000000000014</v>
      </c>
      <c r="G257" s="164">
        <f>G254*G256</f>
        <v>85.750000000000014</v>
      </c>
      <c r="H257" s="165">
        <f>H254*H256</f>
        <v>85.750000000000014</v>
      </c>
    </row>
    <row r="258" spans="2:8" x14ac:dyDescent="0.2">
      <c r="B258" s="213"/>
      <c r="C258" s="168"/>
      <c r="D258" s="169"/>
      <c r="E258" s="169"/>
      <c r="F258" s="169"/>
      <c r="G258" s="169"/>
      <c r="H258" s="170"/>
    </row>
    <row r="259" spans="2:8" x14ac:dyDescent="0.2">
      <c r="B259" s="265" t="s">
        <v>103</v>
      </c>
      <c r="C259" s="154"/>
      <c r="D259" s="155">
        <f>C262</f>
        <v>1000</v>
      </c>
      <c r="E259" s="155">
        <f>D262</f>
        <v>1000</v>
      </c>
      <c r="F259" s="155">
        <f>E259</f>
        <v>1000</v>
      </c>
      <c r="G259" s="155">
        <f>F259</f>
        <v>1000</v>
      </c>
      <c r="H259" s="156">
        <f>G259</f>
        <v>1000</v>
      </c>
    </row>
    <row r="260" spans="2:8" x14ac:dyDescent="0.2">
      <c r="B260" s="213"/>
      <c r="C260" s="154"/>
      <c r="D260" s="155"/>
      <c r="E260" s="157"/>
      <c r="F260" s="157"/>
      <c r="G260" s="157"/>
      <c r="H260" s="158"/>
    </row>
    <row r="261" spans="2:8" x14ac:dyDescent="0.2">
      <c r="B261" s="213" t="s">
        <v>78</v>
      </c>
      <c r="C261" s="154"/>
      <c r="D261" s="159">
        <f>0</f>
        <v>0</v>
      </c>
      <c r="E261" s="126">
        <v>0</v>
      </c>
      <c r="F261" s="159">
        <v>0</v>
      </c>
      <c r="G261" s="159">
        <v>0</v>
      </c>
      <c r="H261" s="160">
        <v>0</v>
      </c>
    </row>
    <row r="262" spans="2:8" x14ac:dyDescent="0.2">
      <c r="B262" s="213" t="s">
        <v>70</v>
      </c>
      <c r="C262" s="161">
        <v>1000</v>
      </c>
      <c r="D262" s="159">
        <f>D259-D261</f>
        <v>1000</v>
      </c>
      <c r="E262" s="159">
        <f>E259-E261</f>
        <v>1000</v>
      </c>
      <c r="F262" s="159">
        <f>F259-F261</f>
        <v>1000</v>
      </c>
      <c r="G262" s="159">
        <f>G259-G261</f>
        <v>1000</v>
      </c>
      <c r="H262" s="160">
        <f>D259</f>
        <v>1000</v>
      </c>
    </row>
    <row r="263" spans="2:8" x14ac:dyDescent="0.2">
      <c r="B263" s="213"/>
      <c r="C263" s="154"/>
      <c r="D263" s="154"/>
      <c r="E263" s="154"/>
      <c r="F263" s="154"/>
      <c r="G263" s="154"/>
      <c r="H263" s="162"/>
    </row>
    <row r="264" spans="2:8" x14ac:dyDescent="0.2">
      <c r="B264" s="213" t="s">
        <v>69</v>
      </c>
      <c r="C264" s="149">
        <v>2.7E-2</v>
      </c>
      <c r="D264" s="149">
        <v>2.7E-2</v>
      </c>
      <c r="E264" s="149">
        <v>2.7E-2</v>
      </c>
      <c r="F264" s="149">
        <v>2.7E-2</v>
      </c>
      <c r="G264" s="149">
        <v>2.7E-2</v>
      </c>
      <c r="H264" s="171">
        <v>2.7E-2</v>
      </c>
    </row>
    <row r="265" spans="2:8" x14ac:dyDescent="0.2">
      <c r="B265" s="213"/>
      <c r="C265" s="154"/>
      <c r="D265" s="154"/>
      <c r="E265" s="154"/>
      <c r="F265" s="154"/>
      <c r="G265" s="154"/>
      <c r="H265" s="162"/>
    </row>
    <row r="266" spans="2:8" x14ac:dyDescent="0.2">
      <c r="B266" s="213" t="s">
        <v>79</v>
      </c>
      <c r="C266" s="154"/>
      <c r="D266" s="157">
        <f>AVERAGE(D262,C262)</f>
        <v>1000</v>
      </c>
      <c r="E266" s="157">
        <f>AVERAGE(E262,D262)</f>
        <v>1000</v>
      </c>
      <c r="F266" s="157">
        <f>AVERAGE(F262,E262)</f>
        <v>1000</v>
      </c>
      <c r="G266" s="157">
        <f>AVERAGE(G262,F262)</f>
        <v>1000</v>
      </c>
      <c r="H266" s="158">
        <f>AVERAGE(H262,G262)</f>
        <v>1000</v>
      </c>
    </row>
    <row r="267" spans="2:8" x14ac:dyDescent="0.2">
      <c r="B267" s="264" t="s">
        <v>80</v>
      </c>
      <c r="C267" s="163"/>
      <c r="D267" s="164">
        <f>D266*D264</f>
        <v>27</v>
      </c>
      <c r="E267" s="164">
        <f>E264*E266</f>
        <v>27</v>
      </c>
      <c r="F267" s="164">
        <f>F264*F266</f>
        <v>27</v>
      </c>
      <c r="G267" s="164">
        <f>G264*G266</f>
        <v>27</v>
      </c>
      <c r="H267" s="165">
        <f>H264*H266</f>
        <v>27</v>
      </c>
    </row>
    <row r="268" spans="2:8" x14ac:dyDescent="0.2">
      <c r="B268" s="213"/>
      <c r="C268" s="168"/>
      <c r="D268" s="169"/>
      <c r="E268" s="169"/>
      <c r="F268" s="169"/>
      <c r="G268" s="169"/>
      <c r="H268" s="170"/>
    </row>
    <row r="269" spans="2:8" x14ac:dyDescent="0.2">
      <c r="B269" s="265" t="s">
        <v>104</v>
      </c>
      <c r="C269" s="154"/>
      <c r="D269" s="155">
        <f>C272</f>
        <v>1175</v>
      </c>
      <c r="E269" s="155">
        <f>D272</f>
        <v>1175</v>
      </c>
      <c r="F269" s="155">
        <f>E269</f>
        <v>1175</v>
      </c>
      <c r="G269" s="155">
        <f>F269</f>
        <v>1175</v>
      </c>
      <c r="H269" s="156">
        <f>G269</f>
        <v>1175</v>
      </c>
    </row>
    <row r="270" spans="2:8" x14ac:dyDescent="0.2">
      <c r="B270" s="213"/>
      <c r="C270" s="154"/>
      <c r="D270" s="155"/>
      <c r="E270" s="157"/>
      <c r="F270" s="157"/>
      <c r="G270" s="157"/>
      <c r="H270" s="158"/>
    </row>
    <row r="271" spans="2:8" x14ac:dyDescent="0.2">
      <c r="B271" s="213" t="s">
        <v>78</v>
      </c>
      <c r="C271" s="154"/>
      <c r="D271" s="159">
        <f>0</f>
        <v>0</v>
      </c>
      <c r="E271" s="126">
        <v>0</v>
      </c>
      <c r="F271" s="159">
        <v>0</v>
      </c>
      <c r="G271" s="159">
        <v>0</v>
      </c>
      <c r="H271" s="160">
        <v>0</v>
      </c>
    </row>
    <row r="272" spans="2:8" x14ac:dyDescent="0.2">
      <c r="B272" s="213" t="s">
        <v>70</v>
      </c>
      <c r="C272" s="161">
        <v>1175</v>
      </c>
      <c r="D272" s="159">
        <f>D269-D271</f>
        <v>1175</v>
      </c>
      <c r="E272" s="159">
        <f>E269-E271</f>
        <v>1175</v>
      </c>
      <c r="F272" s="159">
        <f>F269-F271</f>
        <v>1175</v>
      </c>
      <c r="G272" s="159">
        <f>G269-G271</f>
        <v>1175</v>
      </c>
      <c r="H272" s="160">
        <f>D269</f>
        <v>1175</v>
      </c>
    </row>
    <row r="273" spans="2:8" x14ac:dyDescent="0.2">
      <c r="B273" s="213"/>
      <c r="C273" s="154"/>
      <c r="D273" s="154"/>
      <c r="E273" s="154"/>
      <c r="F273" s="154"/>
      <c r="G273" s="154"/>
      <c r="H273" s="162"/>
    </row>
    <row r="274" spans="2:8" x14ac:dyDescent="0.2">
      <c r="B274" s="213" t="s">
        <v>69</v>
      </c>
      <c r="C274" s="149">
        <v>3.15E-2</v>
      </c>
      <c r="D274" s="149">
        <v>3.15E-2</v>
      </c>
      <c r="E274" s="149">
        <v>3.15E-2</v>
      </c>
      <c r="F274" s="149">
        <v>3.15E-2</v>
      </c>
      <c r="G274" s="149">
        <v>3.15E-2</v>
      </c>
      <c r="H274" s="171">
        <v>3.15E-2</v>
      </c>
    </row>
    <row r="275" spans="2:8" x14ac:dyDescent="0.2">
      <c r="B275" s="213"/>
      <c r="C275" s="154"/>
      <c r="D275" s="154"/>
      <c r="E275" s="154"/>
      <c r="F275" s="154"/>
      <c r="G275" s="154"/>
      <c r="H275" s="162"/>
    </row>
    <row r="276" spans="2:8" x14ac:dyDescent="0.2">
      <c r="B276" s="213" t="s">
        <v>79</v>
      </c>
      <c r="C276" s="154"/>
      <c r="D276" s="157">
        <f>AVERAGE(D272,C272)</f>
        <v>1175</v>
      </c>
      <c r="E276" s="157">
        <f>AVERAGE(E272,D272)</f>
        <v>1175</v>
      </c>
      <c r="F276" s="157">
        <f>AVERAGE(F272,E272)</f>
        <v>1175</v>
      </c>
      <c r="G276" s="157">
        <f>AVERAGE(G272,F272)</f>
        <v>1175</v>
      </c>
      <c r="H276" s="158">
        <f>AVERAGE(H272,G272)</f>
        <v>1175</v>
      </c>
    </row>
    <row r="277" spans="2:8" x14ac:dyDescent="0.2">
      <c r="B277" s="264" t="s">
        <v>80</v>
      </c>
      <c r="C277" s="163"/>
      <c r="D277" s="164">
        <f>D276*D274</f>
        <v>37.012500000000003</v>
      </c>
      <c r="E277" s="164">
        <f>E274*E276</f>
        <v>37.012500000000003</v>
      </c>
      <c r="F277" s="164">
        <f>F274*F276</f>
        <v>37.012500000000003</v>
      </c>
      <c r="G277" s="164">
        <f>G274*G276</f>
        <v>37.012500000000003</v>
      </c>
      <c r="H277" s="165">
        <f>H274*H276</f>
        <v>37.012500000000003</v>
      </c>
    </row>
    <row r="278" spans="2:8" x14ac:dyDescent="0.2">
      <c r="B278" s="213"/>
      <c r="C278" s="168"/>
      <c r="D278" s="169"/>
      <c r="E278" s="169"/>
      <c r="F278" s="169"/>
      <c r="G278" s="169"/>
      <c r="H278" s="170"/>
    </row>
    <row r="279" spans="2:8" x14ac:dyDescent="0.2">
      <c r="B279" s="265" t="s">
        <v>105</v>
      </c>
      <c r="C279" s="154"/>
      <c r="D279" s="155">
        <f>C282</f>
        <v>881</v>
      </c>
      <c r="E279" s="155">
        <f>D282</f>
        <v>881</v>
      </c>
      <c r="F279" s="155">
        <f>E279</f>
        <v>881</v>
      </c>
      <c r="G279" s="155">
        <f>F279</f>
        <v>881</v>
      </c>
      <c r="H279" s="156">
        <f>G279</f>
        <v>881</v>
      </c>
    </row>
    <row r="280" spans="2:8" x14ac:dyDescent="0.2">
      <c r="B280" s="213"/>
      <c r="C280" s="154"/>
      <c r="D280" s="155"/>
      <c r="E280" s="157"/>
      <c r="F280" s="157"/>
      <c r="G280" s="157"/>
      <c r="H280" s="158"/>
    </row>
    <row r="281" spans="2:8" x14ac:dyDescent="0.2">
      <c r="B281" s="213" t="s">
        <v>78</v>
      </c>
      <c r="C281" s="154"/>
      <c r="D281" s="159">
        <f>0</f>
        <v>0</v>
      </c>
      <c r="E281" s="126">
        <v>0</v>
      </c>
      <c r="F281" s="159">
        <v>0</v>
      </c>
      <c r="G281" s="159">
        <v>0</v>
      </c>
      <c r="H281" s="160">
        <v>0</v>
      </c>
    </row>
    <row r="282" spans="2:8" x14ac:dyDescent="0.2">
      <c r="B282" s="213" t="s">
        <v>70</v>
      </c>
      <c r="C282" s="161">
        <v>881</v>
      </c>
      <c r="D282" s="159">
        <f>D279-D281</f>
        <v>881</v>
      </c>
      <c r="E282" s="159">
        <f>E279-E281</f>
        <v>881</v>
      </c>
      <c r="F282" s="159">
        <f>F279-F281</f>
        <v>881</v>
      </c>
      <c r="G282" s="159">
        <f>G279-G281</f>
        <v>881</v>
      </c>
      <c r="H282" s="160">
        <f>D279</f>
        <v>881</v>
      </c>
    </row>
    <row r="283" spans="2:8" x14ac:dyDescent="0.2">
      <c r="B283" s="213"/>
      <c r="C283" s="154"/>
      <c r="D283" s="154"/>
      <c r="E283" s="154"/>
      <c r="F283" s="154"/>
      <c r="G283" s="154"/>
      <c r="H283" s="162"/>
    </row>
    <row r="284" spans="2:8" x14ac:dyDescent="0.2">
      <c r="B284" s="213" t="s">
        <v>69</v>
      </c>
      <c r="C284" s="149">
        <v>3.6999999999999998E-2</v>
      </c>
      <c r="D284" s="149">
        <v>3.6999999999999998E-2</v>
      </c>
      <c r="E284" s="149">
        <v>3.6999999999999998E-2</v>
      </c>
      <c r="F284" s="149">
        <v>3.6999999999999998E-2</v>
      </c>
      <c r="G284" s="149">
        <v>3.6999999999999998E-2</v>
      </c>
      <c r="H284" s="171">
        <v>3.6999999999999998E-2</v>
      </c>
    </row>
    <row r="285" spans="2:8" x14ac:dyDescent="0.2">
      <c r="B285" s="213"/>
      <c r="C285" s="154"/>
      <c r="D285" s="154"/>
      <c r="E285" s="154"/>
      <c r="F285" s="154"/>
      <c r="G285" s="154"/>
      <c r="H285" s="162"/>
    </row>
    <row r="286" spans="2:8" x14ac:dyDescent="0.2">
      <c r="B286" s="213" t="s">
        <v>79</v>
      </c>
      <c r="C286" s="154"/>
      <c r="D286" s="157">
        <f>AVERAGE(D282,C282)</f>
        <v>881</v>
      </c>
      <c r="E286" s="157">
        <f>AVERAGE(E282,D282)</f>
        <v>881</v>
      </c>
      <c r="F286" s="157">
        <f>AVERAGE(F282,E282)</f>
        <v>881</v>
      </c>
      <c r="G286" s="157">
        <f>AVERAGE(G282,F282)</f>
        <v>881</v>
      </c>
      <c r="H286" s="158">
        <f>AVERAGE(H282,G282)</f>
        <v>881</v>
      </c>
    </row>
    <row r="287" spans="2:8" x14ac:dyDescent="0.2">
      <c r="B287" s="264" t="s">
        <v>80</v>
      </c>
      <c r="C287" s="163"/>
      <c r="D287" s="164">
        <f>D286*D284</f>
        <v>32.597000000000001</v>
      </c>
      <c r="E287" s="164">
        <f>E284*E286</f>
        <v>32.597000000000001</v>
      </c>
      <c r="F287" s="164">
        <f>F284*F286</f>
        <v>32.597000000000001</v>
      </c>
      <c r="G287" s="164">
        <f>G284*G286</f>
        <v>32.597000000000001</v>
      </c>
      <c r="H287" s="165">
        <f>H284*H286</f>
        <v>32.597000000000001</v>
      </c>
    </row>
    <row r="288" spans="2:8" x14ac:dyDescent="0.2">
      <c r="B288" s="213"/>
      <c r="C288" s="168"/>
      <c r="D288" s="169"/>
      <c r="E288" s="169"/>
      <c r="F288" s="169"/>
      <c r="G288" s="169"/>
      <c r="H288" s="170"/>
    </row>
    <row r="289" spans="2:8" x14ac:dyDescent="0.2">
      <c r="B289" s="265" t="s">
        <v>106</v>
      </c>
      <c r="C289" s="154"/>
      <c r="D289" s="155">
        <f>C292</f>
        <v>1250</v>
      </c>
      <c r="E289" s="155">
        <f>D292</f>
        <v>1250</v>
      </c>
      <c r="F289" s="155">
        <f>E289</f>
        <v>1250</v>
      </c>
      <c r="G289" s="155">
        <f>F289</f>
        <v>1250</v>
      </c>
      <c r="H289" s="156">
        <f>G289</f>
        <v>1250</v>
      </c>
    </row>
    <row r="290" spans="2:8" x14ac:dyDescent="0.2">
      <c r="B290" s="213"/>
      <c r="C290" s="154"/>
      <c r="D290" s="155"/>
      <c r="E290" s="157"/>
      <c r="F290" s="157"/>
      <c r="G290" s="157"/>
      <c r="H290" s="158"/>
    </row>
    <row r="291" spans="2:8" x14ac:dyDescent="0.2">
      <c r="B291" s="213" t="s">
        <v>78</v>
      </c>
      <c r="C291" s="154"/>
      <c r="D291" s="159">
        <f>0</f>
        <v>0</v>
      </c>
      <c r="E291" s="126">
        <v>0</v>
      </c>
      <c r="F291" s="159">
        <v>0</v>
      </c>
      <c r="G291" s="159">
        <v>0</v>
      </c>
      <c r="H291" s="160">
        <v>0</v>
      </c>
    </row>
    <row r="292" spans="2:8" x14ac:dyDescent="0.2">
      <c r="B292" s="213" t="s">
        <v>70</v>
      </c>
      <c r="C292" s="161">
        <v>1250</v>
      </c>
      <c r="D292" s="159">
        <f>D289-D291</f>
        <v>1250</v>
      </c>
      <c r="E292" s="159">
        <f>E289-E291</f>
        <v>1250</v>
      </c>
      <c r="F292" s="159">
        <f>F289-F291</f>
        <v>1250</v>
      </c>
      <c r="G292" s="159">
        <f>G289-G291</f>
        <v>1250</v>
      </c>
      <c r="H292" s="160">
        <f>D289</f>
        <v>1250</v>
      </c>
    </row>
    <row r="293" spans="2:8" x14ac:dyDescent="0.2">
      <c r="B293" s="213"/>
      <c r="C293" s="154"/>
      <c r="D293" s="154"/>
      <c r="E293" s="154"/>
      <c r="F293" s="154"/>
      <c r="G293" s="154"/>
      <c r="H293" s="162"/>
    </row>
    <row r="294" spans="2:8" x14ac:dyDescent="0.2">
      <c r="B294" s="213" t="s">
        <v>69</v>
      </c>
      <c r="C294" s="149">
        <v>5.1249999999999997E-2</v>
      </c>
      <c r="D294" s="149">
        <v>5.1249999999999997E-2</v>
      </c>
      <c r="E294" s="149">
        <v>5.1249999999999997E-2</v>
      </c>
      <c r="F294" s="149">
        <v>5.1249999999999997E-2</v>
      </c>
      <c r="G294" s="149">
        <v>5.1249999999999997E-2</v>
      </c>
      <c r="H294" s="171">
        <v>5.1249999999999997E-2</v>
      </c>
    </row>
    <row r="295" spans="2:8" x14ac:dyDescent="0.2">
      <c r="B295" s="213"/>
      <c r="C295" s="154"/>
      <c r="D295" s="154"/>
      <c r="E295" s="154"/>
      <c r="F295" s="154"/>
      <c r="G295" s="154"/>
      <c r="H295" s="162"/>
    </row>
    <row r="296" spans="2:8" x14ac:dyDescent="0.2">
      <c r="B296" s="213" t="s">
        <v>79</v>
      </c>
      <c r="C296" s="154"/>
      <c r="D296" s="157">
        <f>AVERAGE(D292,C292)</f>
        <v>1250</v>
      </c>
      <c r="E296" s="157">
        <f>AVERAGE(E292,D292)</f>
        <v>1250</v>
      </c>
      <c r="F296" s="157">
        <f>AVERAGE(F292,E292)</f>
        <v>1250</v>
      </c>
      <c r="G296" s="157">
        <f>AVERAGE(G292,F292)</f>
        <v>1250</v>
      </c>
      <c r="H296" s="158">
        <f>AVERAGE(H292,G292)</f>
        <v>1250</v>
      </c>
    </row>
    <row r="297" spans="2:8" x14ac:dyDescent="0.2">
      <c r="B297" s="264" t="s">
        <v>80</v>
      </c>
      <c r="C297" s="163"/>
      <c r="D297" s="164">
        <f>D296*D294</f>
        <v>64.0625</v>
      </c>
      <c r="E297" s="164">
        <f>E294*E296</f>
        <v>64.0625</v>
      </c>
      <c r="F297" s="164">
        <f>F294*F296</f>
        <v>64.0625</v>
      </c>
      <c r="G297" s="164">
        <f>G294*G296</f>
        <v>64.0625</v>
      </c>
      <c r="H297" s="165">
        <f>H294*H296</f>
        <v>64.0625</v>
      </c>
    </row>
    <row r="298" spans="2:8" x14ac:dyDescent="0.2">
      <c r="B298" s="213"/>
      <c r="C298" s="168"/>
      <c r="D298" s="169"/>
      <c r="E298" s="169"/>
      <c r="F298" s="169"/>
      <c r="G298" s="169"/>
      <c r="H298" s="170"/>
    </row>
    <row r="299" spans="2:8" x14ac:dyDescent="0.2">
      <c r="B299" s="265" t="s">
        <v>107</v>
      </c>
      <c r="C299" s="154"/>
      <c r="D299" s="155">
        <f>C302</f>
        <v>2000</v>
      </c>
      <c r="E299" s="155">
        <f>D302</f>
        <v>2000</v>
      </c>
      <c r="F299" s="155">
        <f>E299</f>
        <v>2000</v>
      </c>
      <c r="G299" s="155">
        <f>F299</f>
        <v>2000</v>
      </c>
      <c r="H299" s="156">
        <f>G299</f>
        <v>2000</v>
      </c>
    </row>
    <row r="300" spans="2:8" x14ac:dyDescent="0.2">
      <c r="B300" s="213"/>
      <c r="C300" s="154"/>
      <c r="D300" s="155"/>
      <c r="E300" s="157"/>
      <c r="F300" s="157"/>
      <c r="G300" s="157"/>
      <c r="H300" s="158"/>
    </row>
    <row r="301" spans="2:8" x14ac:dyDescent="0.2">
      <c r="B301" s="213" t="s">
        <v>78</v>
      </c>
      <c r="C301" s="154"/>
      <c r="D301" s="159">
        <f>0</f>
        <v>0</v>
      </c>
      <c r="E301" s="126">
        <v>0</v>
      </c>
      <c r="F301" s="159">
        <v>0</v>
      </c>
      <c r="G301" s="159">
        <v>0</v>
      </c>
      <c r="H301" s="160">
        <v>0</v>
      </c>
    </row>
    <row r="302" spans="2:8" x14ac:dyDescent="0.2">
      <c r="B302" s="213" t="s">
        <v>70</v>
      </c>
      <c r="C302" s="161">
        <v>2000</v>
      </c>
      <c r="D302" s="159">
        <f>D299-D301</f>
        <v>2000</v>
      </c>
      <c r="E302" s="159">
        <f>E299-E301</f>
        <v>2000</v>
      </c>
      <c r="F302" s="159">
        <f>F299-F301</f>
        <v>2000</v>
      </c>
      <c r="G302" s="159">
        <f>G299-G301</f>
        <v>2000</v>
      </c>
      <c r="H302" s="160">
        <f>D299</f>
        <v>2000</v>
      </c>
    </row>
    <row r="303" spans="2:8" x14ac:dyDescent="0.2">
      <c r="B303" s="213"/>
      <c r="C303" s="154"/>
      <c r="D303" s="154"/>
      <c r="E303" s="154"/>
      <c r="F303" s="154"/>
      <c r="G303" s="154"/>
      <c r="H303" s="162"/>
    </row>
    <row r="304" spans="2:8" x14ac:dyDescent="0.2">
      <c r="B304" s="213" t="s">
        <v>69</v>
      </c>
      <c r="C304" s="149">
        <v>8.7499999999999994E-2</v>
      </c>
      <c r="D304" s="149">
        <v>8.7499999999999994E-2</v>
      </c>
      <c r="E304" s="149">
        <v>8.7499999999999994E-2</v>
      </c>
      <c r="F304" s="149">
        <v>8.7499999999999994E-2</v>
      </c>
      <c r="G304" s="149">
        <v>8.7499999999999994E-2</v>
      </c>
      <c r="H304" s="171">
        <v>8.7499999999999994E-2</v>
      </c>
    </row>
    <row r="305" spans="2:8" x14ac:dyDescent="0.2">
      <c r="B305" s="213"/>
      <c r="C305" s="154"/>
      <c r="D305" s="154"/>
      <c r="E305" s="154"/>
      <c r="F305" s="154"/>
      <c r="G305" s="154"/>
      <c r="H305" s="162"/>
    </row>
    <row r="306" spans="2:8" x14ac:dyDescent="0.2">
      <c r="B306" s="213" t="s">
        <v>79</v>
      </c>
      <c r="C306" s="154"/>
      <c r="D306" s="157">
        <f>AVERAGE(D302,C302)</f>
        <v>2000</v>
      </c>
      <c r="E306" s="157">
        <f>AVERAGE(E302,D302)</f>
        <v>2000</v>
      </c>
      <c r="F306" s="157">
        <f>AVERAGE(F302,E302)</f>
        <v>2000</v>
      </c>
      <c r="G306" s="157">
        <f>AVERAGE(G302,F302)</f>
        <v>2000</v>
      </c>
      <c r="H306" s="158">
        <f>AVERAGE(H302,G302)</f>
        <v>2000</v>
      </c>
    </row>
    <row r="307" spans="2:8" x14ac:dyDescent="0.2">
      <c r="B307" s="264" t="s">
        <v>80</v>
      </c>
      <c r="C307" s="163"/>
      <c r="D307" s="164">
        <f>D306*D304</f>
        <v>175</v>
      </c>
      <c r="E307" s="164">
        <f>E304*E306</f>
        <v>175</v>
      </c>
      <c r="F307" s="164">
        <f>F304*F306</f>
        <v>175</v>
      </c>
      <c r="G307" s="164">
        <f>G304*G306</f>
        <v>175</v>
      </c>
      <c r="H307" s="165">
        <f>H304*H306</f>
        <v>175</v>
      </c>
    </row>
    <row r="308" spans="2:8" x14ac:dyDescent="0.2">
      <c r="B308" s="213"/>
      <c r="C308" s="168"/>
      <c r="D308" s="169"/>
      <c r="E308" s="169"/>
      <c r="F308" s="169"/>
      <c r="G308" s="169"/>
      <c r="H308" s="170"/>
    </row>
    <row r="309" spans="2:8" x14ac:dyDescent="0.2">
      <c r="B309" s="328" t="s">
        <v>108</v>
      </c>
      <c r="C309" s="154"/>
      <c r="D309" s="155">
        <f>C312</f>
        <v>800</v>
      </c>
      <c r="E309" s="155">
        <f>D312</f>
        <v>800</v>
      </c>
      <c r="F309" s="155">
        <f>E309</f>
        <v>800</v>
      </c>
      <c r="G309" s="155">
        <f>F309</f>
        <v>800</v>
      </c>
      <c r="H309" s="156">
        <f>G309</f>
        <v>800</v>
      </c>
    </row>
    <row r="310" spans="2:8" x14ac:dyDescent="0.2">
      <c r="B310" s="213"/>
      <c r="C310" s="154"/>
      <c r="D310" s="155"/>
      <c r="E310" s="157"/>
      <c r="F310" s="157"/>
      <c r="G310" s="157"/>
      <c r="H310" s="158"/>
    </row>
    <row r="311" spans="2:8" x14ac:dyDescent="0.2">
      <c r="B311" s="213" t="s">
        <v>78</v>
      </c>
      <c r="C311" s="154"/>
      <c r="D311" s="159">
        <f>0</f>
        <v>0</v>
      </c>
      <c r="E311" s="126">
        <v>0</v>
      </c>
      <c r="F311" s="159">
        <v>0</v>
      </c>
      <c r="G311" s="159">
        <v>0</v>
      </c>
      <c r="H311" s="160">
        <v>0</v>
      </c>
    </row>
    <row r="312" spans="2:8" x14ac:dyDescent="0.2">
      <c r="B312" s="213" t="s">
        <v>70</v>
      </c>
      <c r="C312" s="161">
        <v>800</v>
      </c>
      <c r="D312" s="159">
        <f>D309-D311</f>
        <v>800</v>
      </c>
      <c r="E312" s="159">
        <f>E309-E311</f>
        <v>800</v>
      </c>
      <c r="F312" s="159">
        <f>F309-F311</f>
        <v>800</v>
      </c>
      <c r="G312" s="159">
        <f>G309-G311</f>
        <v>800</v>
      </c>
      <c r="H312" s="160">
        <f>D309</f>
        <v>800</v>
      </c>
    </row>
    <row r="313" spans="2:8" x14ac:dyDescent="0.2">
      <c r="B313" s="213"/>
      <c r="C313" s="154"/>
      <c r="D313" s="154"/>
      <c r="E313" s="154"/>
      <c r="F313" s="154"/>
      <c r="G313" s="154"/>
      <c r="H313" s="162"/>
    </row>
    <row r="314" spans="2:8" x14ac:dyDescent="0.2">
      <c r="B314" s="213" t="s">
        <v>69</v>
      </c>
      <c r="C314" s="149">
        <v>4.6249999999999999E-2</v>
      </c>
      <c r="D314" s="149">
        <v>4.6249999999999999E-2</v>
      </c>
      <c r="E314" s="149">
        <v>4.6249999999999999E-2</v>
      </c>
      <c r="F314" s="149">
        <v>4.6249999999999999E-2</v>
      </c>
      <c r="G314" s="149">
        <v>4.6249999999999999E-2</v>
      </c>
      <c r="H314" s="171">
        <v>4.6249999999999999E-2</v>
      </c>
    </row>
    <row r="315" spans="2:8" x14ac:dyDescent="0.2">
      <c r="B315" s="213"/>
      <c r="C315" s="154"/>
      <c r="D315" s="154"/>
      <c r="E315" s="154"/>
      <c r="F315" s="154"/>
      <c r="G315" s="154"/>
      <c r="H315" s="162"/>
    </row>
    <row r="316" spans="2:8" x14ac:dyDescent="0.2">
      <c r="B316" s="213" t="s">
        <v>79</v>
      </c>
      <c r="C316" s="154"/>
      <c r="D316" s="157">
        <f>AVERAGE(D312,C312)</f>
        <v>800</v>
      </c>
      <c r="E316" s="157">
        <f>AVERAGE(E312,D312)</f>
        <v>800</v>
      </c>
      <c r="F316" s="157">
        <f>AVERAGE(F312,E312)</f>
        <v>800</v>
      </c>
      <c r="G316" s="157">
        <f>AVERAGE(G312,F312)</f>
        <v>800</v>
      </c>
      <c r="H316" s="158">
        <f>AVERAGE(H312,G312)</f>
        <v>800</v>
      </c>
    </row>
    <row r="317" spans="2:8" x14ac:dyDescent="0.2">
      <c r="B317" s="264" t="s">
        <v>80</v>
      </c>
      <c r="C317" s="163"/>
      <c r="D317" s="164">
        <f>D316*D314</f>
        <v>37</v>
      </c>
      <c r="E317" s="164">
        <f>E314*E316</f>
        <v>37</v>
      </c>
      <c r="F317" s="164">
        <f>F314*F316</f>
        <v>37</v>
      </c>
      <c r="G317" s="164">
        <f>G314*G316</f>
        <v>37</v>
      </c>
      <c r="H317" s="165">
        <f>H314*H316</f>
        <v>37</v>
      </c>
    </row>
    <row r="318" spans="2:8" x14ac:dyDescent="0.2">
      <c r="B318" s="213"/>
      <c r="C318" s="168"/>
      <c r="D318" s="169"/>
      <c r="E318" s="169"/>
      <c r="F318" s="169"/>
      <c r="G318" s="169"/>
      <c r="H318" s="170"/>
    </row>
    <row r="319" spans="2:8" x14ac:dyDescent="0.2">
      <c r="B319" s="328" t="s">
        <v>109</v>
      </c>
      <c r="C319" s="154"/>
      <c r="D319" s="155">
        <f>C322</f>
        <v>2600</v>
      </c>
      <c r="E319" s="155">
        <f>D322</f>
        <v>2600</v>
      </c>
      <c r="F319" s="155">
        <f>E319</f>
        <v>2600</v>
      </c>
      <c r="G319" s="155">
        <f>F319</f>
        <v>2600</v>
      </c>
      <c r="H319" s="156">
        <f>G319</f>
        <v>2600</v>
      </c>
    </row>
    <row r="320" spans="2:8" x14ac:dyDescent="0.2">
      <c r="B320" s="213"/>
      <c r="C320" s="154"/>
      <c r="D320" s="155"/>
      <c r="E320" s="157"/>
      <c r="F320" s="157"/>
      <c r="G320" s="157"/>
      <c r="H320" s="158"/>
    </row>
    <row r="321" spans="2:8" x14ac:dyDescent="0.2">
      <c r="B321" s="213" t="s">
        <v>78</v>
      </c>
      <c r="C321" s="154"/>
      <c r="D321" s="159">
        <f>0</f>
        <v>0</v>
      </c>
      <c r="E321" s="126">
        <v>0</v>
      </c>
      <c r="F321" s="159">
        <v>0</v>
      </c>
      <c r="G321" s="159">
        <v>0</v>
      </c>
      <c r="H321" s="160">
        <v>0</v>
      </c>
    </row>
    <row r="322" spans="2:8" x14ac:dyDescent="0.2">
      <c r="B322" s="213" t="s">
        <v>70</v>
      </c>
      <c r="C322" s="161">
        <v>2600</v>
      </c>
      <c r="D322" s="159">
        <f>D319-D321</f>
        <v>2600</v>
      </c>
      <c r="E322" s="159">
        <f>E319-E321</f>
        <v>2600</v>
      </c>
      <c r="F322" s="159">
        <f>F319-F321</f>
        <v>2600</v>
      </c>
      <c r="G322" s="159">
        <f>G319-G321</f>
        <v>2600</v>
      </c>
      <c r="H322" s="160">
        <f>D319</f>
        <v>2600</v>
      </c>
    </row>
    <row r="323" spans="2:8" x14ac:dyDescent="0.2">
      <c r="B323" s="213"/>
      <c r="C323" s="154"/>
      <c r="D323" s="154"/>
      <c r="E323" s="154"/>
      <c r="F323" s="154"/>
      <c r="G323" s="154"/>
      <c r="H323" s="162"/>
    </row>
    <row r="324" spans="2:8" x14ac:dyDescent="0.2">
      <c r="B324" s="213" t="s">
        <v>69</v>
      </c>
      <c r="C324" s="149">
        <v>5.0500000000000003E-2</v>
      </c>
      <c r="D324" s="149">
        <v>5.0500000000000003E-2</v>
      </c>
      <c r="E324" s="149">
        <v>5.0500000000000003E-2</v>
      </c>
      <c r="F324" s="149">
        <v>5.0500000000000003E-2</v>
      </c>
      <c r="G324" s="149">
        <v>5.0500000000000003E-2</v>
      </c>
      <c r="H324" s="171">
        <v>5.0500000000000003E-2</v>
      </c>
    </row>
    <row r="325" spans="2:8" x14ac:dyDescent="0.2">
      <c r="B325" s="213"/>
      <c r="C325" s="154"/>
      <c r="D325" s="154"/>
      <c r="E325" s="154"/>
      <c r="F325" s="154"/>
      <c r="G325" s="154"/>
      <c r="H325" s="162"/>
    </row>
    <row r="326" spans="2:8" x14ac:dyDescent="0.2">
      <c r="B326" s="213" t="s">
        <v>79</v>
      </c>
      <c r="C326" s="154"/>
      <c r="D326" s="157">
        <f>AVERAGE(D322,C322)</f>
        <v>2600</v>
      </c>
      <c r="E326" s="157">
        <f>AVERAGE(E322,D322)</f>
        <v>2600</v>
      </c>
      <c r="F326" s="157">
        <f>AVERAGE(F322,E322)</f>
        <v>2600</v>
      </c>
      <c r="G326" s="157">
        <f>AVERAGE(G322,F322)</f>
        <v>2600</v>
      </c>
      <c r="H326" s="158">
        <f>AVERAGE(H322,G322)</f>
        <v>2600</v>
      </c>
    </row>
    <row r="327" spans="2:8" x14ac:dyDescent="0.2">
      <c r="B327" s="264" t="s">
        <v>80</v>
      </c>
      <c r="C327" s="163"/>
      <c r="D327" s="164">
        <f>D326*D324</f>
        <v>131.30000000000001</v>
      </c>
      <c r="E327" s="164">
        <f>E324*E326</f>
        <v>131.30000000000001</v>
      </c>
      <c r="F327" s="164">
        <f>F324*F326</f>
        <v>131.30000000000001</v>
      </c>
      <c r="G327" s="164">
        <f>G324*G326</f>
        <v>131.30000000000001</v>
      </c>
      <c r="H327" s="165">
        <f>H324*H326</f>
        <v>131.30000000000001</v>
      </c>
    </row>
    <row r="328" spans="2:8" x14ac:dyDescent="0.2">
      <c r="B328" s="213"/>
      <c r="C328" s="168"/>
      <c r="D328" s="169"/>
      <c r="E328" s="169"/>
      <c r="F328" s="169"/>
      <c r="G328" s="169"/>
      <c r="H328" s="170"/>
    </row>
    <row r="329" spans="2:8" x14ac:dyDescent="0.2">
      <c r="B329" s="328" t="s">
        <v>110</v>
      </c>
      <c r="C329" s="154"/>
      <c r="D329" s="155">
        <f>C332</f>
        <v>1250</v>
      </c>
      <c r="E329" s="155">
        <f>D332</f>
        <v>1250</v>
      </c>
      <c r="F329" s="155">
        <f>E329</f>
        <v>1250</v>
      </c>
      <c r="G329" s="155">
        <f>F329</f>
        <v>1250</v>
      </c>
      <c r="H329" s="156">
        <f>G329</f>
        <v>1250</v>
      </c>
    </row>
    <row r="330" spans="2:8" x14ac:dyDescent="0.2">
      <c r="B330" s="213"/>
      <c r="C330" s="154"/>
      <c r="D330" s="155"/>
      <c r="E330" s="157"/>
      <c r="F330" s="157"/>
      <c r="G330" s="157"/>
      <c r="H330" s="158"/>
    </row>
    <row r="331" spans="2:8" x14ac:dyDescent="0.2">
      <c r="B331" s="213" t="s">
        <v>78</v>
      </c>
      <c r="C331" s="154"/>
      <c r="D331" s="159">
        <f>0</f>
        <v>0</v>
      </c>
      <c r="E331" s="126">
        <v>0</v>
      </c>
      <c r="F331" s="159">
        <v>0</v>
      </c>
      <c r="G331" s="159">
        <v>0</v>
      </c>
      <c r="H331" s="160">
        <v>0</v>
      </c>
    </row>
    <row r="332" spans="2:8" x14ac:dyDescent="0.2">
      <c r="B332" s="213" t="s">
        <v>70</v>
      </c>
      <c r="C332" s="161">
        <v>1250</v>
      </c>
      <c r="D332" s="159">
        <f>D329-D331</f>
        <v>1250</v>
      </c>
      <c r="E332" s="159">
        <f>E329-E331</f>
        <v>1250</v>
      </c>
      <c r="F332" s="159">
        <f>F329-F331</f>
        <v>1250</v>
      </c>
      <c r="G332" s="159">
        <f>G329-G331</f>
        <v>1250</v>
      </c>
      <c r="H332" s="160">
        <f>D329</f>
        <v>1250</v>
      </c>
    </row>
    <row r="333" spans="2:8" x14ac:dyDescent="0.2">
      <c r="B333" s="213"/>
      <c r="C333" s="154"/>
      <c r="D333" s="154"/>
      <c r="E333" s="154"/>
      <c r="F333" s="154"/>
      <c r="G333" s="154"/>
      <c r="H333" s="162"/>
    </row>
    <row r="334" spans="2:8" x14ac:dyDescent="0.2">
      <c r="B334" s="213" t="s">
        <v>69</v>
      </c>
      <c r="C334" s="149">
        <v>5.1999999999999998E-2</v>
      </c>
      <c r="D334" s="149">
        <v>5.0500000000000003E-2</v>
      </c>
      <c r="E334" s="149">
        <v>5.0500000000000003E-2</v>
      </c>
      <c r="F334" s="149">
        <v>5.0500000000000003E-2</v>
      </c>
      <c r="G334" s="149">
        <v>5.0500000000000003E-2</v>
      </c>
      <c r="H334" s="171">
        <v>5.0500000000000003E-2</v>
      </c>
    </row>
    <row r="335" spans="2:8" x14ac:dyDescent="0.2">
      <c r="B335" s="213"/>
      <c r="C335" s="154"/>
      <c r="D335" s="154"/>
      <c r="E335" s="154"/>
      <c r="F335" s="154"/>
      <c r="G335" s="154"/>
      <c r="H335" s="162"/>
    </row>
    <row r="336" spans="2:8" x14ac:dyDescent="0.2">
      <c r="B336" s="213" t="s">
        <v>79</v>
      </c>
      <c r="C336" s="154"/>
      <c r="D336" s="157">
        <f>AVERAGE(D332,C332)</f>
        <v>1250</v>
      </c>
      <c r="E336" s="157">
        <f>AVERAGE(E332,D332)</f>
        <v>1250</v>
      </c>
      <c r="F336" s="157">
        <f>AVERAGE(F332,E332)</f>
        <v>1250</v>
      </c>
      <c r="G336" s="157">
        <f>AVERAGE(G332,F332)</f>
        <v>1250</v>
      </c>
      <c r="H336" s="158">
        <f>AVERAGE(H332,G332)</f>
        <v>1250</v>
      </c>
    </row>
    <row r="337" spans="2:8" x14ac:dyDescent="0.2">
      <c r="B337" s="264" t="s">
        <v>80</v>
      </c>
      <c r="C337" s="163"/>
      <c r="D337" s="164">
        <f>D336*D334</f>
        <v>63.125000000000007</v>
      </c>
      <c r="E337" s="164">
        <f>E334*E336</f>
        <v>63.125000000000007</v>
      </c>
      <c r="F337" s="164">
        <f>F334*F336</f>
        <v>63.125000000000007</v>
      </c>
      <c r="G337" s="164">
        <f>G334*G336</f>
        <v>63.125000000000007</v>
      </c>
      <c r="H337" s="165">
        <f>H334*H336</f>
        <v>63.125000000000007</v>
      </c>
    </row>
    <row r="338" spans="2:8" x14ac:dyDescent="0.2">
      <c r="B338" s="213"/>
      <c r="C338" s="168"/>
      <c r="D338" s="169"/>
      <c r="E338" s="169"/>
      <c r="F338" s="169"/>
      <c r="G338" s="169"/>
      <c r="H338" s="170"/>
    </row>
    <row r="339" spans="2:8" x14ac:dyDescent="0.2">
      <c r="B339" s="328" t="s">
        <v>111</v>
      </c>
      <c r="C339" s="154"/>
      <c r="D339" s="155">
        <f>C342</f>
        <v>489</v>
      </c>
      <c r="E339" s="155">
        <f>D342</f>
        <v>489</v>
      </c>
      <c r="F339" s="155">
        <f>E339</f>
        <v>489</v>
      </c>
      <c r="G339" s="155">
        <f>F339</f>
        <v>489</v>
      </c>
      <c r="H339" s="156">
        <f>G339</f>
        <v>489</v>
      </c>
    </row>
    <row r="340" spans="2:8" x14ac:dyDescent="0.2">
      <c r="B340" s="213"/>
      <c r="C340" s="154"/>
      <c r="D340" s="155"/>
      <c r="E340" s="157"/>
      <c r="F340" s="157"/>
      <c r="G340" s="157"/>
      <c r="H340" s="158"/>
    </row>
    <row r="341" spans="2:8" x14ac:dyDescent="0.2">
      <c r="B341" s="213" t="s">
        <v>78</v>
      </c>
      <c r="C341" s="154"/>
      <c r="D341" s="159">
        <f>0</f>
        <v>0</v>
      </c>
      <c r="E341" s="126">
        <v>0</v>
      </c>
      <c r="F341" s="159">
        <v>0</v>
      </c>
      <c r="G341" s="159">
        <v>0</v>
      </c>
      <c r="H341" s="160">
        <v>0</v>
      </c>
    </row>
    <row r="342" spans="2:8" x14ac:dyDescent="0.2">
      <c r="B342" s="213" t="s">
        <v>70</v>
      </c>
      <c r="C342" s="161">
        <v>489</v>
      </c>
      <c r="D342" s="159">
        <f>D339-D341</f>
        <v>489</v>
      </c>
      <c r="E342" s="159">
        <f>E339-E341</f>
        <v>489</v>
      </c>
      <c r="F342" s="159">
        <f>F339-F341</f>
        <v>489</v>
      </c>
      <c r="G342" s="159">
        <f>G339-G341</f>
        <v>489</v>
      </c>
      <c r="H342" s="160">
        <f>D339</f>
        <v>489</v>
      </c>
    </row>
    <row r="343" spans="2:8" x14ac:dyDescent="0.2">
      <c r="B343" s="213"/>
      <c r="C343" s="154"/>
      <c r="D343" s="154"/>
      <c r="E343" s="154"/>
      <c r="F343" s="154"/>
      <c r="G343" s="154"/>
      <c r="H343" s="162"/>
    </row>
    <row r="344" spans="2:8" x14ac:dyDescent="0.2">
      <c r="B344" s="213" t="s">
        <v>69</v>
      </c>
      <c r="C344" s="149">
        <v>6.7000000000000004E-2</v>
      </c>
      <c r="D344" s="149">
        <v>6.7000000000000004E-2</v>
      </c>
      <c r="E344" s="149">
        <v>6.7000000000000004E-2</v>
      </c>
      <c r="F344" s="149">
        <v>6.7000000000000004E-2</v>
      </c>
      <c r="G344" s="149">
        <v>6.7000000000000004E-2</v>
      </c>
      <c r="H344" s="171">
        <v>6.7000000000000004E-2</v>
      </c>
    </row>
    <row r="345" spans="2:8" x14ac:dyDescent="0.2">
      <c r="B345" s="213"/>
      <c r="C345" s="154"/>
      <c r="D345" s="154"/>
      <c r="E345" s="154"/>
      <c r="F345" s="154"/>
      <c r="G345" s="154"/>
      <c r="H345" s="162"/>
    </row>
    <row r="346" spans="2:8" x14ac:dyDescent="0.2">
      <c r="B346" s="213" t="s">
        <v>79</v>
      </c>
      <c r="C346" s="154"/>
      <c r="D346" s="157">
        <f>AVERAGE(D342,C342)</f>
        <v>489</v>
      </c>
      <c r="E346" s="157">
        <f>AVERAGE(E342,D342)</f>
        <v>489</v>
      </c>
      <c r="F346" s="157">
        <f>AVERAGE(F342,E342)</f>
        <v>489</v>
      </c>
      <c r="G346" s="157">
        <f>AVERAGE(G342,F342)</f>
        <v>489</v>
      </c>
      <c r="H346" s="158">
        <f>AVERAGE(H342,G342)</f>
        <v>489</v>
      </c>
    </row>
    <row r="347" spans="2:8" x14ac:dyDescent="0.2">
      <c r="B347" s="264" t="s">
        <v>80</v>
      </c>
      <c r="C347" s="163"/>
      <c r="D347" s="164">
        <f>D346*D344</f>
        <v>32.763000000000005</v>
      </c>
      <c r="E347" s="164">
        <f>E344*E346</f>
        <v>32.763000000000005</v>
      </c>
      <c r="F347" s="164">
        <f>F344*F346</f>
        <v>32.763000000000005</v>
      </c>
      <c r="G347" s="164">
        <f>G344*G346</f>
        <v>32.763000000000005</v>
      </c>
      <c r="H347" s="165">
        <f>H344*H346</f>
        <v>32.763000000000005</v>
      </c>
    </row>
    <row r="348" spans="2:8" x14ac:dyDescent="0.2">
      <c r="B348" s="213"/>
      <c r="C348" s="168"/>
      <c r="D348" s="169"/>
      <c r="E348" s="169"/>
      <c r="F348" s="169"/>
      <c r="G348" s="169"/>
      <c r="H348" s="170"/>
    </row>
    <row r="349" spans="2:8" x14ac:dyDescent="0.2">
      <c r="B349" s="328" t="s">
        <v>112</v>
      </c>
      <c r="C349" s="154"/>
      <c r="D349" s="155">
        <f>C352</f>
        <v>1250</v>
      </c>
      <c r="E349" s="155">
        <f>D352</f>
        <v>1250</v>
      </c>
      <c r="F349" s="155">
        <f>E349</f>
        <v>1250</v>
      </c>
      <c r="G349" s="155">
        <f>F349</f>
        <v>1250</v>
      </c>
      <c r="H349" s="156">
        <f>G349</f>
        <v>1250</v>
      </c>
    </row>
    <row r="350" spans="2:8" x14ac:dyDescent="0.2">
      <c r="B350" s="213"/>
      <c r="C350" s="154"/>
      <c r="D350" s="155"/>
      <c r="E350" s="157"/>
      <c r="F350" s="157"/>
      <c r="G350" s="157"/>
      <c r="H350" s="158"/>
    </row>
    <row r="351" spans="2:8" x14ac:dyDescent="0.2">
      <c r="B351" s="213" t="s">
        <v>78</v>
      </c>
      <c r="C351" s="154"/>
      <c r="D351" s="159">
        <f>0</f>
        <v>0</v>
      </c>
      <c r="E351" s="126">
        <v>0</v>
      </c>
      <c r="F351" s="159">
        <v>0</v>
      </c>
      <c r="G351" s="159">
        <v>0</v>
      </c>
      <c r="H351" s="160">
        <v>0</v>
      </c>
    </row>
    <row r="352" spans="2:8" x14ac:dyDescent="0.2">
      <c r="B352" s="213" t="s">
        <v>70</v>
      </c>
      <c r="C352" s="161">
        <v>1250</v>
      </c>
      <c r="D352" s="159">
        <f>D349-D351</f>
        <v>1250</v>
      </c>
      <c r="E352" s="159">
        <f>E349-E351</f>
        <v>1250</v>
      </c>
      <c r="F352" s="159">
        <f>F349-F351</f>
        <v>1250</v>
      </c>
      <c r="G352" s="159">
        <f>G349-G351</f>
        <v>1250</v>
      </c>
      <c r="H352" s="160">
        <f>D349</f>
        <v>1250</v>
      </c>
    </row>
    <row r="353" spans="2:8" x14ac:dyDescent="0.2">
      <c r="B353" s="213"/>
      <c r="C353" s="154"/>
      <c r="D353" s="154"/>
      <c r="E353" s="154"/>
      <c r="F353" s="154"/>
      <c r="G353" s="154"/>
      <c r="H353" s="162"/>
    </row>
    <row r="354" spans="2:8" x14ac:dyDescent="0.2">
      <c r="B354" s="213" t="s">
        <v>69</v>
      </c>
      <c r="C354" s="149">
        <v>5.1499999999999997E-2</v>
      </c>
      <c r="D354" s="149">
        <v>5.1499999999999997E-2</v>
      </c>
      <c r="E354" s="149">
        <v>5.1499999999999997E-2</v>
      </c>
      <c r="F354" s="149">
        <v>5.1499999999999997E-2</v>
      </c>
      <c r="G354" s="149">
        <v>5.1499999999999997E-2</v>
      </c>
      <c r="H354" s="171">
        <v>5.1499999999999997E-2</v>
      </c>
    </row>
    <row r="355" spans="2:8" x14ac:dyDescent="0.2">
      <c r="B355" s="213"/>
      <c r="C355" s="154"/>
      <c r="D355" s="154"/>
      <c r="E355" s="154"/>
      <c r="F355" s="154"/>
      <c r="G355" s="154"/>
      <c r="H355" s="162"/>
    </row>
    <row r="356" spans="2:8" x14ac:dyDescent="0.2">
      <c r="B356" s="213" t="s">
        <v>79</v>
      </c>
      <c r="C356" s="154"/>
      <c r="D356" s="157">
        <f>AVERAGE(D352,C352)</f>
        <v>1250</v>
      </c>
      <c r="E356" s="157">
        <f>AVERAGE(E352,D352)</f>
        <v>1250</v>
      </c>
      <c r="F356" s="157">
        <f>AVERAGE(F352,E352)</f>
        <v>1250</v>
      </c>
      <c r="G356" s="157">
        <f>AVERAGE(G352,F352)</f>
        <v>1250</v>
      </c>
      <c r="H356" s="158">
        <f>AVERAGE(H352,G352)</f>
        <v>1250</v>
      </c>
    </row>
    <row r="357" spans="2:8" x14ac:dyDescent="0.2">
      <c r="B357" s="264" t="s">
        <v>80</v>
      </c>
      <c r="C357" s="163"/>
      <c r="D357" s="164">
        <f>D356*D354</f>
        <v>64.375</v>
      </c>
      <c r="E357" s="164">
        <f>E354*E356</f>
        <v>64.375</v>
      </c>
      <c r="F357" s="164">
        <f>F354*F356</f>
        <v>64.375</v>
      </c>
      <c r="G357" s="164">
        <f>G354*G356</f>
        <v>64.375</v>
      </c>
      <c r="H357" s="165">
        <f>H354*H356</f>
        <v>64.375</v>
      </c>
    </row>
    <row r="358" spans="2:8" x14ac:dyDescent="0.2">
      <c r="B358" s="213"/>
      <c r="C358" s="168"/>
      <c r="D358" s="169"/>
      <c r="E358" s="169"/>
      <c r="F358" s="169"/>
      <c r="G358" s="169"/>
      <c r="H358" s="170"/>
    </row>
    <row r="359" spans="2:8" x14ac:dyDescent="0.2">
      <c r="B359" s="328" t="s">
        <v>113</v>
      </c>
      <c r="C359" s="154"/>
      <c r="D359" s="155">
        <f>C362</f>
        <v>1000</v>
      </c>
      <c r="E359" s="155">
        <f>D362</f>
        <v>1000</v>
      </c>
      <c r="F359" s="155">
        <f>E359</f>
        <v>1000</v>
      </c>
      <c r="G359" s="155">
        <f>F359</f>
        <v>1000</v>
      </c>
      <c r="H359" s="156">
        <f>G359</f>
        <v>1000</v>
      </c>
    </row>
    <row r="360" spans="2:8" x14ac:dyDescent="0.2">
      <c r="B360" s="213"/>
      <c r="C360" s="154"/>
      <c r="D360" s="155"/>
      <c r="E360" s="157"/>
      <c r="F360" s="157"/>
      <c r="G360" s="157"/>
      <c r="H360" s="158"/>
    </row>
    <row r="361" spans="2:8" x14ac:dyDescent="0.2">
      <c r="B361" s="213" t="s">
        <v>78</v>
      </c>
      <c r="C361" s="154"/>
      <c r="D361" s="159">
        <f>0</f>
        <v>0</v>
      </c>
      <c r="E361" s="126">
        <v>0</v>
      </c>
      <c r="F361" s="159">
        <v>0</v>
      </c>
      <c r="G361" s="159">
        <v>0</v>
      </c>
      <c r="H361" s="160">
        <v>0</v>
      </c>
    </row>
    <row r="362" spans="2:8" x14ac:dyDescent="0.2">
      <c r="B362" s="213" t="s">
        <v>70</v>
      </c>
      <c r="C362" s="161">
        <v>1000</v>
      </c>
      <c r="D362" s="159">
        <f>D359-D361</f>
        <v>1000</v>
      </c>
      <c r="E362" s="159">
        <f>E359-E361</f>
        <v>1000</v>
      </c>
      <c r="F362" s="159">
        <f>F359-F361</f>
        <v>1000</v>
      </c>
      <c r="G362" s="159">
        <f>G359-G361</f>
        <v>1000</v>
      </c>
      <c r="H362" s="160">
        <f>D359</f>
        <v>1000</v>
      </c>
    </row>
    <row r="363" spans="2:8" x14ac:dyDescent="0.2">
      <c r="B363" s="213"/>
      <c r="C363" s="154"/>
      <c r="D363" s="154"/>
      <c r="E363" s="154"/>
      <c r="F363" s="154"/>
      <c r="G363" s="154"/>
      <c r="H363" s="162"/>
    </row>
    <row r="364" spans="2:8" x14ac:dyDescent="0.2">
      <c r="B364" s="213" t="s">
        <v>69</v>
      </c>
      <c r="C364" s="149">
        <v>5.7500000000000002E-2</v>
      </c>
      <c r="D364" s="149">
        <v>5.7500000000000002E-2</v>
      </c>
      <c r="E364" s="149">
        <v>5.7500000000000002E-2</v>
      </c>
      <c r="F364" s="149">
        <v>5.7500000000000002E-2</v>
      </c>
      <c r="G364" s="149">
        <v>5.7500000000000002E-2</v>
      </c>
      <c r="H364" s="171">
        <v>5.7500000000000002E-2</v>
      </c>
    </row>
    <row r="365" spans="2:8" x14ac:dyDescent="0.2">
      <c r="B365" s="213"/>
      <c r="C365" s="154"/>
      <c r="D365" s="154"/>
      <c r="E365" s="154"/>
      <c r="F365" s="154"/>
      <c r="G365" s="154"/>
      <c r="H365" s="162"/>
    </row>
    <row r="366" spans="2:8" x14ac:dyDescent="0.2">
      <c r="B366" s="213" t="s">
        <v>79</v>
      </c>
      <c r="C366" s="154"/>
      <c r="D366" s="157">
        <f>AVERAGE(D362,C362)</f>
        <v>1000</v>
      </c>
      <c r="E366" s="157">
        <f>AVERAGE(E362,D362)</f>
        <v>1000</v>
      </c>
      <c r="F366" s="157">
        <f>AVERAGE(F362,E362)</f>
        <v>1000</v>
      </c>
      <c r="G366" s="157">
        <f>AVERAGE(G362,F362)</f>
        <v>1000</v>
      </c>
      <c r="H366" s="158">
        <f>AVERAGE(H362,G362)</f>
        <v>1000</v>
      </c>
    </row>
    <row r="367" spans="2:8" x14ac:dyDescent="0.2">
      <c r="B367" s="264" t="s">
        <v>80</v>
      </c>
      <c r="C367" s="163"/>
      <c r="D367" s="164">
        <f>D366*D364</f>
        <v>57.5</v>
      </c>
      <c r="E367" s="164">
        <f>E364*E366</f>
        <v>57.5</v>
      </c>
      <c r="F367" s="164">
        <f>F364*F366</f>
        <v>57.5</v>
      </c>
      <c r="G367" s="164">
        <f>G364*G366</f>
        <v>57.5</v>
      </c>
      <c r="H367" s="165">
        <f>H364*H366</f>
        <v>57.5</v>
      </c>
    </row>
    <row r="368" spans="2:8" x14ac:dyDescent="0.2">
      <c r="B368" s="213"/>
      <c r="C368" s="168"/>
      <c r="D368" s="169"/>
      <c r="E368" s="169"/>
      <c r="F368" s="169"/>
      <c r="G368" s="169"/>
      <c r="H368" s="170"/>
    </row>
    <row r="369" spans="2:8" x14ac:dyDescent="0.2">
      <c r="B369" s="328" t="s">
        <v>114</v>
      </c>
      <c r="C369" s="154"/>
      <c r="D369" s="155">
        <f>C372</f>
        <v>900</v>
      </c>
      <c r="E369" s="155">
        <f>D372</f>
        <v>900</v>
      </c>
      <c r="F369" s="155">
        <f>E369</f>
        <v>900</v>
      </c>
      <c r="G369" s="155">
        <f>F369</f>
        <v>900</v>
      </c>
      <c r="H369" s="156">
        <f>G369</f>
        <v>900</v>
      </c>
    </row>
    <row r="370" spans="2:8" x14ac:dyDescent="0.2">
      <c r="B370" s="213"/>
      <c r="C370" s="154"/>
      <c r="D370" s="155"/>
      <c r="E370" s="157"/>
      <c r="F370" s="157"/>
      <c r="G370" s="157"/>
      <c r="H370" s="158"/>
    </row>
    <row r="371" spans="2:8" x14ac:dyDescent="0.2">
      <c r="B371" s="213" t="s">
        <v>78</v>
      </c>
      <c r="C371" s="154"/>
      <c r="D371" s="159">
        <f>0</f>
        <v>0</v>
      </c>
      <c r="E371" s="126">
        <v>0</v>
      </c>
      <c r="F371" s="159">
        <v>0</v>
      </c>
      <c r="G371" s="159">
        <v>0</v>
      </c>
      <c r="H371" s="160">
        <v>0</v>
      </c>
    </row>
    <row r="372" spans="2:8" x14ac:dyDescent="0.2">
      <c r="B372" s="213" t="s">
        <v>70</v>
      </c>
      <c r="C372" s="161">
        <v>900</v>
      </c>
      <c r="D372" s="159">
        <f>D369-D371</f>
        <v>900</v>
      </c>
      <c r="E372" s="159">
        <f>E369-E371</f>
        <v>900</v>
      </c>
      <c r="F372" s="159">
        <f>F369-F371</f>
        <v>900</v>
      </c>
      <c r="G372" s="159">
        <f>G369-G371</f>
        <v>900</v>
      </c>
      <c r="H372" s="160">
        <f>D369</f>
        <v>900</v>
      </c>
    </row>
    <row r="373" spans="2:8" x14ac:dyDescent="0.2">
      <c r="B373" s="213"/>
      <c r="C373" s="154"/>
      <c r="D373" s="154"/>
      <c r="E373" s="154"/>
      <c r="F373" s="154"/>
      <c r="G373" s="154"/>
      <c r="H373" s="162"/>
    </row>
    <row r="374" spans="2:8" x14ac:dyDescent="0.2">
      <c r="B374" s="213" t="s">
        <v>69</v>
      </c>
      <c r="C374" s="149">
        <v>4.7E-2</v>
      </c>
      <c r="D374" s="149">
        <v>4.7E-2</v>
      </c>
      <c r="E374" s="149">
        <v>4.7E-2</v>
      </c>
      <c r="F374" s="149">
        <v>4.7E-2</v>
      </c>
      <c r="G374" s="149">
        <v>4.7E-2</v>
      </c>
      <c r="H374" s="171">
        <v>4.7E-2</v>
      </c>
    </row>
    <row r="375" spans="2:8" x14ac:dyDescent="0.2">
      <c r="B375" s="213"/>
      <c r="C375" s="154"/>
      <c r="D375" s="154"/>
      <c r="E375" s="154"/>
      <c r="F375" s="154"/>
      <c r="G375" s="154"/>
      <c r="H375" s="162"/>
    </row>
    <row r="376" spans="2:8" x14ac:dyDescent="0.2">
      <c r="B376" s="213" t="s">
        <v>79</v>
      </c>
      <c r="C376" s="154"/>
      <c r="D376" s="157">
        <f>AVERAGE(D372,C372)</f>
        <v>900</v>
      </c>
      <c r="E376" s="157">
        <f>AVERAGE(E372,D372)</f>
        <v>900</v>
      </c>
      <c r="F376" s="157">
        <f>AVERAGE(F372,E372)</f>
        <v>900</v>
      </c>
      <c r="G376" s="157">
        <f>AVERAGE(G372,F372)</f>
        <v>900</v>
      </c>
      <c r="H376" s="158">
        <f>AVERAGE(H372,G372)</f>
        <v>900</v>
      </c>
    </row>
    <row r="377" spans="2:8" x14ac:dyDescent="0.2">
      <c r="B377" s="264" t="s">
        <v>80</v>
      </c>
      <c r="C377" s="163"/>
      <c r="D377" s="164">
        <f>D376*D374</f>
        <v>42.3</v>
      </c>
      <c r="E377" s="164">
        <f>E374*E376</f>
        <v>42.3</v>
      </c>
      <c r="F377" s="164">
        <f>F374*F376</f>
        <v>42.3</v>
      </c>
      <c r="G377" s="164">
        <f>G374*G376</f>
        <v>42.3</v>
      </c>
      <c r="H377" s="165">
        <f>H374*H376</f>
        <v>42.3</v>
      </c>
    </row>
    <row r="378" spans="2:8" x14ac:dyDescent="0.2">
      <c r="B378" s="213"/>
      <c r="C378" s="168"/>
      <c r="D378" s="169"/>
      <c r="E378" s="169"/>
      <c r="F378" s="169"/>
      <c r="G378" s="169"/>
      <c r="H378" s="170"/>
    </row>
    <row r="379" spans="2:8" x14ac:dyDescent="0.2">
      <c r="B379" s="328" t="s">
        <v>115</v>
      </c>
      <c r="C379" s="154"/>
      <c r="D379" s="155">
        <f>C382</f>
        <v>1000</v>
      </c>
      <c r="E379" s="155">
        <f>D382</f>
        <v>1000</v>
      </c>
      <c r="F379" s="155">
        <f>E379</f>
        <v>1000</v>
      </c>
      <c r="G379" s="155">
        <f>F379</f>
        <v>1000</v>
      </c>
      <c r="H379" s="156">
        <f>G379</f>
        <v>1000</v>
      </c>
    </row>
    <row r="380" spans="2:8" x14ac:dyDescent="0.2">
      <c r="B380" s="213"/>
      <c r="C380" s="154"/>
      <c r="D380" s="155"/>
      <c r="E380" s="157"/>
      <c r="F380" s="157"/>
      <c r="G380" s="157"/>
      <c r="H380" s="158"/>
    </row>
    <row r="381" spans="2:8" x14ac:dyDescent="0.2">
      <c r="B381" s="213" t="s">
        <v>78</v>
      </c>
      <c r="C381" s="154"/>
      <c r="D381" s="159">
        <f>0</f>
        <v>0</v>
      </c>
      <c r="E381" s="126">
        <v>0</v>
      </c>
      <c r="F381" s="159">
        <v>0</v>
      </c>
      <c r="G381" s="159">
        <v>0</v>
      </c>
      <c r="H381" s="160">
        <v>0</v>
      </c>
    </row>
    <row r="382" spans="2:8" x14ac:dyDescent="0.2">
      <c r="B382" s="213" t="s">
        <v>70</v>
      </c>
      <c r="C382" s="161">
        <v>1000</v>
      </c>
      <c r="D382" s="159">
        <f>D379-D381</f>
        <v>1000</v>
      </c>
      <c r="E382" s="159">
        <f>E379-E381</f>
        <v>1000</v>
      </c>
      <c r="F382" s="159">
        <f>F379-F381</f>
        <v>1000</v>
      </c>
      <c r="G382" s="159">
        <f>G379-G381</f>
        <v>1000</v>
      </c>
      <c r="H382" s="160">
        <f>D379</f>
        <v>1000</v>
      </c>
    </row>
    <row r="383" spans="2:8" x14ac:dyDescent="0.2">
      <c r="B383" s="213"/>
      <c r="C383" s="154"/>
      <c r="D383" s="154"/>
      <c r="E383" s="154"/>
      <c r="F383" s="154"/>
      <c r="G383" s="154"/>
      <c r="H383" s="162"/>
    </row>
    <row r="384" spans="2:8" x14ac:dyDescent="0.2">
      <c r="B384" s="213" t="s">
        <v>69</v>
      </c>
      <c r="C384" s="149">
        <v>4.9500000000000002E-2</v>
      </c>
      <c r="D384" s="149">
        <v>4.9500000000000002E-2</v>
      </c>
      <c r="E384" s="149">
        <v>4.9500000000000002E-2</v>
      </c>
      <c r="F384" s="149">
        <v>4.9500000000000002E-2</v>
      </c>
      <c r="G384" s="149">
        <v>4.9500000000000002E-2</v>
      </c>
      <c r="H384" s="171">
        <v>4.9500000000000002E-2</v>
      </c>
    </row>
    <row r="385" spans="2:8" x14ac:dyDescent="0.2">
      <c r="B385" s="213"/>
      <c r="C385" s="154"/>
      <c r="D385" s="154"/>
      <c r="E385" s="154"/>
      <c r="F385" s="154"/>
      <c r="G385" s="154"/>
      <c r="H385" s="162"/>
    </row>
    <row r="386" spans="2:8" x14ac:dyDescent="0.2">
      <c r="B386" s="213" t="s">
        <v>79</v>
      </c>
      <c r="C386" s="154"/>
      <c r="D386" s="157">
        <f>AVERAGE(D382,C382)</f>
        <v>1000</v>
      </c>
      <c r="E386" s="157">
        <f>AVERAGE(E382,D382)</f>
        <v>1000</v>
      </c>
      <c r="F386" s="157">
        <f>AVERAGE(F382,E382)</f>
        <v>1000</v>
      </c>
      <c r="G386" s="157">
        <f>AVERAGE(G382,F382)</f>
        <v>1000</v>
      </c>
      <c r="H386" s="158">
        <f>AVERAGE(H382,G382)</f>
        <v>1000</v>
      </c>
    </row>
    <row r="387" spans="2:8" x14ac:dyDescent="0.2">
      <c r="B387" s="264" t="s">
        <v>80</v>
      </c>
      <c r="C387" s="163"/>
      <c r="D387" s="164">
        <f>D386*D384</f>
        <v>49.5</v>
      </c>
      <c r="E387" s="164">
        <f>E384*E386</f>
        <v>49.5</v>
      </c>
      <c r="F387" s="164">
        <f>F384*F386</f>
        <v>49.5</v>
      </c>
      <c r="G387" s="164">
        <f>G384*G386</f>
        <v>49.5</v>
      </c>
      <c r="H387" s="165">
        <f>H384*H386</f>
        <v>49.5</v>
      </c>
    </row>
    <row r="388" spans="2:8" x14ac:dyDescent="0.2">
      <c r="B388" s="265"/>
      <c r="C388" s="168"/>
      <c r="D388" s="169"/>
      <c r="E388" s="169"/>
      <c r="F388" s="169"/>
      <c r="G388" s="169"/>
      <c r="H388" s="170"/>
    </row>
    <row r="389" spans="2:8" x14ac:dyDescent="0.2">
      <c r="B389" s="328" t="s">
        <v>116</v>
      </c>
      <c r="C389" s="154"/>
      <c r="D389" s="155">
        <f>C392</f>
        <v>1000</v>
      </c>
      <c r="E389" s="155">
        <f>D392</f>
        <v>1000</v>
      </c>
      <c r="F389" s="155">
        <f>E389</f>
        <v>1000</v>
      </c>
      <c r="G389" s="155">
        <f>F389</f>
        <v>1000</v>
      </c>
      <c r="H389" s="156">
        <f>G389</f>
        <v>1000</v>
      </c>
    </row>
    <row r="390" spans="2:8" x14ac:dyDescent="0.2">
      <c r="B390" s="265"/>
      <c r="C390" s="154"/>
      <c r="D390" s="155"/>
      <c r="E390" s="157"/>
      <c r="F390" s="157"/>
      <c r="G390" s="157"/>
      <c r="H390" s="158"/>
    </row>
    <row r="391" spans="2:8" x14ac:dyDescent="0.2">
      <c r="B391" s="265" t="s">
        <v>78</v>
      </c>
      <c r="C391" s="154"/>
      <c r="D391" s="159">
        <f>0</f>
        <v>0</v>
      </c>
      <c r="E391" s="126">
        <v>0</v>
      </c>
      <c r="F391" s="159">
        <v>0</v>
      </c>
      <c r="G391" s="159">
        <v>0</v>
      </c>
      <c r="H391" s="160">
        <v>0</v>
      </c>
    </row>
    <row r="392" spans="2:8" x14ac:dyDescent="0.2">
      <c r="B392" s="265" t="s">
        <v>70</v>
      </c>
      <c r="C392" s="161">
        <v>1000</v>
      </c>
      <c r="D392" s="159">
        <f>D389-D391</f>
        <v>1000</v>
      </c>
      <c r="E392" s="159">
        <f>E389-E391</f>
        <v>1000</v>
      </c>
      <c r="F392" s="159">
        <f>F389-F391</f>
        <v>1000</v>
      </c>
      <c r="G392" s="159">
        <f>G389-G391</f>
        <v>1000</v>
      </c>
      <c r="H392" s="160">
        <f>D389</f>
        <v>1000</v>
      </c>
    </row>
    <row r="393" spans="2:8" x14ac:dyDescent="0.2">
      <c r="B393" s="265"/>
      <c r="C393" s="154"/>
      <c r="D393" s="154"/>
      <c r="E393" s="154"/>
      <c r="F393" s="154"/>
      <c r="G393" s="154"/>
      <c r="H393" s="162"/>
    </row>
    <row r="394" spans="2:8" x14ac:dyDescent="0.2">
      <c r="B394" s="265" t="s">
        <v>69</v>
      </c>
      <c r="C394" s="149">
        <v>5.2999999999999999E-2</v>
      </c>
      <c r="D394" s="149">
        <v>5.2999999999999999E-2</v>
      </c>
      <c r="E394" s="149">
        <v>5.2999999999999999E-2</v>
      </c>
      <c r="F394" s="149">
        <v>5.2999999999999999E-2</v>
      </c>
      <c r="G394" s="149">
        <v>5.2999999999999999E-2</v>
      </c>
      <c r="H394" s="171">
        <v>5.2999999999999999E-2</v>
      </c>
    </row>
    <row r="395" spans="2:8" x14ac:dyDescent="0.2">
      <c r="B395" s="265"/>
      <c r="C395" s="154"/>
      <c r="D395" s="154"/>
      <c r="E395" s="154"/>
      <c r="F395" s="154"/>
      <c r="G395" s="154"/>
      <c r="H395" s="162"/>
    </row>
    <row r="396" spans="2:8" x14ac:dyDescent="0.2">
      <c r="B396" s="213" t="s">
        <v>79</v>
      </c>
      <c r="C396" s="154"/>
      <c r="D396" s="157">
        <f>AVERAGE(D392,C392)</f>
        <v>1000</v>
      </c>
      <c r="E396" s="157">
        <f>AVERAGE(E392,D392)</f>
        <v>1000</v>
      </c>
      <c r="F396" s="157">
        <f>AVERAGE(F392,E392)</f>
        <v>1000</v>
      </c>
      <c r="G396" s="157">
        <f>AVERAGE(G392,F392)</f>
        <v>1000</v>
      </c>
      <c r="H396" s="158">
        <f>AVERAGE(H392,G392)</f>
        <v>1000</v>
      </c>
    </row>
    <row r="397" spans="2:8" x14ac:dyDescent="0.2">
      <c r="B397" s="264" t="s">
        <v>80</v>
      </c>
      <c r="C397" s="163"/>
      <c r="D397" s="164">
        <f>D396*D394</f>
        <v>53</v>
      </c>
      <c r="E397" s="164">
        <f>E394*E396</f>
        <v>53</v>
      </c>
      <c r="F397" s="164">
        <f>F394*F396</f>
        <v>53</v>
      </c>
      <c r="G397" s="164">
        <f>G394*G396</f>
        <v>53</v>
      </c>
      <c r="H397" s="165">
        <f>H394*H396</f>
        <v>53</v>
      </c>
    </row>
    <row r="398" spans="2:8" x14ac:dyDescent="0.2">
      <c r="B398" s="265"/>
      <c r="C398" s="168"/>
      <c r="D398" s="169"/>
      <c r="E398" s="169"/>
      <c r="F398" s="169"/>
      <c r="G398" s="169"/>
      <c r="H398" s="170"/>
    </row>
    <row r="399" spans="2:8" x14ac:dyDescent="0.2">
      <c r="B399" s="328" t="s">
        <v>117</v>
      </c>
      <c r="C399" s="154"/>
      <c r="D399" s="155">
        <f>C402</f>
        <v>1000</v>
      </c>
      <c r="E399" s="155">
        <f>D402</f>
        <v>1000</v>
      </c>
      <c r="F399" s="155">
        <f>E399</f>
        <v>1000</v>
      </c>
      <c r="G399" s="155">
        <f>F399</f>
        <v>1000</v>
      </c>
      <c r="H399" s="156">
        <f>G399</f>
        <v>1000</v>
      </c>
    </row>
    <row r="400" spans="2:8" x14ac:dyDescent="0.2">
      <c r="B400" s="265"/>
      <c r="C400" s="154"/>
      <c r="D400" s="155"/>
      <c r="E400" s="157"/>
      <c r="F400" s="157"/>
      <c r="G400" s="157"/>
      <c r="H400" s="158"/>
    </row>
    <row r="401" spans="2:8" x14ac:dyDescent="0.2">
      <c r="B401" s="265" t="s">
        <v>78</v>
      </c>
      <c r="C401" s="154"/>
      <c r="D401" s="159">
        <f>0</f>
        <v>0</v>
      </c>
      <c r="E401" s="126">
        <v>0</v>
      </c>
      <c r="F401" s="159">
        <v>0</v>
      </c>
      <c r="G401" s="159">
        <v>0</v>
      </c>
      <c r="H401" s="160">
        <v>0</v>
      </c>
    </row>
    <row r="402" spans="2:8" x14ac:dyDescent="0.2">
      <c r="B402" s="265" t="s">
        <v>70</v>
      </c>
      <c r="C402" s="161">
        <v>1000</v>
      </c>
      <c r="D402" s="159">
        <f>D399-D401</f>
        <v>1000</v>
      </c>
      <c r="E402" s="159">
        <f>E399-E401</f>
        <v>1000</v>
      </c>
      <c r="F402" s="159">
        <f>F399-F401</f>
        <v>1000</v>
      </c>
      <c r="G402" s="159">
        <f>G399-G401</f>
        <v>1000</v>
      </c>
      <c r="H402" s="160">
        <f>D399</f>
        <v>1000</v>
      </c>
    </row>
    <row r="403" spans="2:8" x14ac:dyDescent="0.2">
      <c r="B403" s="265"/>
      <c r="C403" s="154"/>
      <c r="D403" s="154"/>
      <c r="E403" s="154"/>
      <c r="F403" s="154"/>
      <c r="G403" s="154"/>
      <c r="H403" s="162"/>
    </row>
    <row r="404" spans="2:8" x14ac:dyDescent="0.2">
      <c r="B404" s="265" t="s">
        <v>69</v>
      </c>
      <c r="C404" s="149">
        <v>5.2999999999999999E-2</v>
      </c>
      <c r="D404" s="149">
        <v>5.2999999999999999E-2</v>
      </c>
      <c r="E404" s="149">
        <v>5.2999999999999999E-2</v>
      </c>
      <c r="F404" s="149">
        <v>5.2999999999999999E-2</v>
      </c>
      <c r="G404" s="149">
        <v>5.2999999999999999E-2</v>
      </c>
      <c r="H404" s="171">
        <v>5.2999999999999999E-2</v>
      </c>
    </row>
    <row r="405" spans="2:8" x14ac:dyDescent="0.2">
      <c r="B405" s="265"/>
      <c r="C405" s="154"/>
      <c r="D405" s="154"/>
      <c r="E405" s="154"/>
      <c r="F405" s="154"/>
      <c r="G405" s="154"/>
      <c r="H405" s="162"/>
    </row>
    <row r="406" spans="2:8" x14ac:dyDescent="0.2">
      <c r="B406" s="213" t="s">
        <v>79</v>
      </c>
      <c r="C406" s="154"/>
      <c r="D406" s="157">
        <f>AVERAGE(D402,C402)</f>
        <v>1000</v>
      </c>
      <c r="E406" s="157">
        <f>AVERAGE(E402,D402)</f>
        <v>1000</v>
      </c>
      <c r="F406" s="157">
        <f>AVERAGE(F402,E402)</f>
        <v>1000</v>
      </c>
      <c r="G406" s="157">
        <f>AVERAGE(G402,F402)</f>
        <v>1000</v>
      </c>
      <c r="H406" s="158">
        <f>AVERAGE(H402,G402)</f>
        <v>1000</v>
      </c>
    </row>
    <row r="407" spans="2:8" x14ac:dyDescent="0.2">
      <c r="B407" s="264" t="s">
        <v>80</v>
      </c>
      <c r="C407" s="163"/>
      <c r="D407" s="164">
        <f>D406*D404</f>
        <v>53</v>
      </c>
      <c r="E407" s="164">
        <f>E404*E406</f>
        <v>53</v>
      </c>
      <c r="F407" s="164">
        <f>F404*F406</f>
        <v>53</v>
      </c>
      <c r="G407" s="164">
        <f>G404*G406</f>
        <v>53</v>
      </c>
      <c r="H407" s="165">
        <f>H404*H406</f>
        <v>53</v>
      </c>
    </row>
    <row r="408" spans="2:8" x14ac:dyDescent="0.2">
      <c r="B408" s="265"/>
      <c r="C408" s="168"/>
      <c r="D408" s="169"/>
      <c r="E408" s="169"/>
      <c r="F408" s="169"/>
      <c r="G408" s="169"/>
      <c r="H408" s="170"/>
    </row>
    <row r="409" spans="2:8" x14ac:dyDescent="0.2">
      <c r="B409" s="328" t="s">
        <v>117</v>
      </c>
      <c r="C409" s="154"/>
      <c r="D409" s="155">
        <f>C412</f>
        <v>913</v>
      </c>
      <c r="E409" s="155">
        <f>D412</f>
        <v>913</v>
      </c>
      <c r="F409" s="155">
        <f>E409</f>
        <v>913</v>
      </c>
      <c r="G409" s="155">
        <f>F409</f>
        <v>913</v>
      </c>
      <c r="H409" s="156">
        <f>G409</f>
        <v>913</v>
      </c>
    </row>
    <row r="410" spans="2:8" x14ac:dyDescent="0.2">
      <c r="B410" s="265"/>
      <c r="C410" s="154"/>
      <c r="D410" s="155"/>
      <c r="E410" s="157"/>
      <c r="F410" s="157"/>
      <c r="G410" s="157"/>
      <c r="H410" s="158"/>
    </row>
    <row r="411" spans="2:8" x14ac:dyDescent="0.2">
      <c r="B411" s="265" t="s">
        <v>78</v>
      </c>
      <c r="C411" s="154"/>
      <c r="D411" s="159">
        <f>0</f>
        <v>0</v>
      </c>
      <c r="E411" s="126">
        <v>0</v>
      </c>
      <c r="F411" s="159">
        <v>0</v>
      </c>
      <c r="G411" s="159">
        <v>0</v>
      </c>
      <c r="H411" s="160">
        <v>0</v>
      </c>
    </row>
    <row r="412" spans="2:8" x14ac:dyDescent="0.2">
      <c r="B412" s="265" t="s">
        <v>70</v>
      </c>
      <c r="C412" s="161">
        <v>913</v>
      </c>
      <c r="D412" s="159">
        <f>D409-D411</f>
        <v>913</v>
      </c>
      <c r="E412" s="159">
        <f>E409-E411</f>
        <v>913</v>
      </c>
      <c r="F412" s="159">
        <f>F409-F411</f>
        <v>913</v>
      </c>
      <c r="G412" s="159">
        <f>G409-G411</f>
        <v>913</v>
      </c>
      <c r="H412" s="160">
        <f>D409</f>
        <v>913</v>
      </c>
    </row>
    <row r="413" spans="2:8" x14ac:dyDescent="0.2">
      <c r="B413" s="265"/>
      <c r="C413" s="154"/>
      <c r="D413" s="154"/>
      <c r="E413" s="154"/>
      <c r="F413" s="154"/>
      <c r="G413" s="154"/>
      <c r="H413" s="162"/>
    </row>
    <row r="414" spans="2:8" x14ac:dyDescent="0.2">
      <c r="B414" s="265" t="s">
        <v>69</v>
      </c>
      <c r="C414" s="149">
        <v>4.9270000000000001E-2</v>
      </c>
      <c r="D414" s="149">
        <v>4.9270000000000001E-2</v>
      </c>
      <c r="E414" s="149">
        <v>4.9270000000000001E-2</v>
      </c>
      <c r="F414" s="149">
        <v>4.9270000000000001E-2</v>
      </c>
      <c r="G414" s="149">
        <v>4.9270000000000001E-2</v>
      </c>
      <c r="H414" s="171">
        <v>4.9270000000000001E-2</v>
      </c>
    </row>
    <row r="415" spans="2:8" x14ac:dyDescent="0.2">
      <c r="B415" s="265"/>
      <c r="C415" s="154"/>
      <c r="D415" s="154"/>
      <c r="E415" s="154"/>
      <c r="F415" s="154"/>
      <c r="G415" s="154"/>
      <c r="H415" s="162"/>
    </row>
    <row r="416" spans="2:8" x14ac:dyDescent="0.2">
      <c r="B416" s="213" t="s">
        <v>79</v>
      </c>
      <c r="C416" s="154"/>
      <c r="D416" s="157">
        <f>AVERAGE(D412,C412)</f>
        <v>913</v>
      </c>
      <c r="E416" s="157">
        <f>AVERAGE(E412,D412)</f>
        <v>913</v>
      </c>
      <c r="F416" s="157">
        <f>AVERAGE(F412,E412)</f>
        <v>913</v>
      </c>
      <c r="G416" s="157">
        <f>AVERAGE(G412,F412)</f>
        <v>913</v>
      </c>
      <c r="H416" s="158">
        <f>AVERAGE(H412,G412)</f>
        <v>913</v>
      </c>
    </row>
    <row r="417" spans="2:8" x14ac:dyDescent="0.2">
      <c r="B417" s="264" t="s">
        <v>80</v>
      </c>
      <c r="C417" s="163"/>
      <c r="D417" s="164">
        <f>D416*D414</f>
        <v>44.983510000000003</v>
      </c>
      <c r="E417" s="164">
        <f>E414*E416</f>
        <v>44.983510000000003</v>
      </c>
      <c r="F417" s="164">
        <f>F414*F416</f>
        <v>44.983510000000003</v>
      </c>
      <c r="G417" s="164">
        <f>G414*G416</f>
        <v>44.983510000000003</v>
      </c>
      <c r="H417" s="165">
        <f>H414*H416</f>
        <v>44.983510000000003</v>
      </c>
    </row>
    <row r="418" spans="2:8" x14ac:dyDescent="0.2">
      <c r="B418" s="265"/>
      <c r="C418" s="168"/>
      <c r="D418" s="169"/>
      <c r="E418" s="169"/>
      <c r="F418" s="169"/>
      <c r="G418" s="169"/>
      <c r="H418" s="170"/>
    </row>
    <row r="419" spans="2:8" x14ac:dyDescent="0.2">
      <c r="B419" s="328" t="s">
        <v>118</v>
      </c>
      <c r="C419" s="154"/>
      <c r="D419" s="155">
        <f>C422</f>
        <v>957</v>
      </c>
      <c r="E419" s="155">
        <f>D422</f>
        <v>957</v>
      </c>
      <c r="F419" s="155">
        <f>E419</f>
        <v>957</v>
      </c>
      <c r="G419" s="155">
        <f>F419</f>
        <v>957</v>
      </c>
      <c r="H419" s="156">
        <f>G419</f>
        <v>957</v>
      </c>
    </row>
    <row r="420" spans="2:8" x14ac:dyDescent="0.2">
      <c r="B420" s="265"/>
      <c r="C420" s="154"/>
      <c r="D420" s="155"/>
      <c r="E420" s="157"/>
      <c r="F420" s="157"/>
      <c r="G420" s="157"/>
      <c r="H420" s="158"/>
    </row>
    <row r="421" spans="2:8" x14ac:dyDescent="0.2">
      <c r="B421" s="265" t="s">
        <v>78</v>
      </c>
      <c r="C421" s="154"/>
      <c r="D421" s="159">
        <f>0</f>
        <v>0</v>
      </c>
      <c r="E421" s="126">
        <v>0</v>
      </c>
      <c r="F421" s="159">
        <v>0</v>
      </c>
      <c r="G421" s="159">
        <v>0</v>
      </c>
      <c r="H421" s="160">
        <v>0</v>
      </c>
    </row>
    <row r="422" spans="2:8" x14ac:dyDescent="0.2">
      <c r="B422" s="265" t="s">
        <v>70</v>
      </c>
      <c r="C422" s="161">
        <v>957</v>
      </c>
      <c r="D422" s="159">
        <f>D419-D421</f>
        <v>957</v>
      </c>
      <c r="E422" s="159">
        <f>E419-E421</f>
        <v>957</v>
      </c>
      <c r="F422" s="159">
        <f>F419-F421</f>
        <v>957</v>
      </c>
      <c r="G422" s="159">
        <f>G419-G421</f>
        <v>957</v>
      </c>
      <c r="H422" s="160">
        <f>D419</f>
        <v>957</v>
      </c>
    </row>
    <row r="423" spans="2:8" x14ac:dyDescent="0.2">
      <c r="B423" s="265"/>
      <c r="C423" s="154"/>
      <c r="D423" s="154"/>
      <c r="E423" s="154"/>
      <c r="F423" s="154"/>
      <c r="G423" s="154"/>
      <c r="H423" s="162"/>
    </row>
    <row r="424" spans="2:8" x14ac:dyDescent="0.2">
      <c r="B424" s="265" t="s">
        <v>69</v>
      </c>
      <c r="C424" s="149">
        <v>4.2000000000000003E-2</v>
      </c>
      <c r="D424" s="149">
        <v>4.2000000000000003E-2</v>
      </c>
      <c r="E424" s="149">
        <v>4.2000000000000003E-2</v>
      </c>
      <c r="F424" s="149">
        <v>4.2000000000000003E-2</v>
      </c>
      <c r="G424" s="149">
        <v>4.2000000000000003E-2</v>
      </c>
      <c r="H424" s="171">
        <v>4.2000000000000003E-2</v>
      </c>
    </row>
    <row r="425" spans="2:8" x14ac:dyDescent="0.2">
      <c r="B425" s="265"/>
      <c r="C425" s="154"/>
      <c r="D425" s="154"/>
      <c r="E425" s="154"/>
      <c r="F425" s="154"/>
      <c r="G425" s="154"/>
      <c r="H425" s="162"/>
    </row>
    <row r="426" spans="2:8" x14ac:dyDescent="0.2">
      <c r="B426" s="213" t="s">
        <v>79</v>
      </c>
      <c r="C426" s="154"/>
      <c r="D426" s="157">
        <f>AVERAGE(D422,C422)</f>
        <v>957</v>
      </c>
      <c r="E426" s="157">
        <f>AVERAGE(E422,D422)</f>
        <v>957</v>
      </c>
      <c r="F426" s="157">
        <f>AVERAGE(F422,E422)</f>
        <v>957</v>
      </c>
      <c r="G426" s="157">
        <f>AVERAGE(G422,F422)</f>
        <v>957</v>
      </c>
      <c r="H426" s="158">
        <f>AVERAGE(H422,G422)</f>
        <v>957</v>
      </c>
    </row>
    <row r="427" spans="2:8" x14ac:dyDescent="0.2">
      <c r="B427" s="264" t="s">
        <v>80</v>
      </c>
      <c r="C427" s="163"/>
      <c r="D427" s="164">
        <f>D426*D424</f>
        <v>40.194000000000003</v>
      </c>
      <c r="E427" s="164">
        <f>E424*E426</f>
        <v>40.194000000000003</v>
      </c>
      <c r="F427" s="164">
        <f>F424*F426</f>
        <v>40.194000000000003</v>
      </c>
      <c r="G427" s="164">
        <f>G424*G426</f>
        <v>40.194000000000003</v>
      </c>
      <c r="H427" s="165">
        <f>H424*H426</f>
        <v>40.194000000000003</v>
      </c>
    </row>
    <row r="428" spans="2:8" x14ac:dyDescent="0.2">
      <c r="B428" s="265"/>
      <c r="C428" s="168"/>
      <c r="D428" s="169"/>
      <c r="E428" s="169"/>
      <c r="F428" s="169"/>
      <c r="G428" s="169"/>
      <c r="H428" s="170"/>
    </row>
    <row r="429" spans="2:8" x14ac:dyDescent="0.2">
      <c r="B429" s="328" t="s">
        <v>119</v>
      </c>
      <c r="C429" s="154"/>
      <c r="D429" s="155">
        <f>C432</f>
        <v>764</v>
      </c>
      <c r="E429" s="155">
        <f>D432</f>
        <v>764</v>
      </c>
      <c r="F429" s="155">
        <f>E429</f>
        <v>764</v>
      </c>
      <c r="G429" s="155">
        <f>F429</f>
        <v>764</v>
      </c>
      <c r="H429" s="156">
        <f>G429</f>
        <v>764</v>
      </c>
    </row>
    <row r="430" spans="2:8" x14ac:dyDescent="0.2">
      <c r="B430" s="265"/>
      <c r="C430" s="154"/>
      <c r="D430" s="155"/>
      <c r="E430" s="157"/>
      <c r="F430" s="157"/>
      <c r="G430" s="157"/>
      <c r="H430" s="158"/>
    </row>
    <row r="431" spans="2:8" x14ac:dyDescent="0.2">
      <c r="B431" s="265" t="s">
        <v>78</v>
      </c>
      <c r="C431" s="154"/>
      <c r="D431" s="159">
        <f>0</f>
        <v>0</v>
      </c>
      <c r="E431" s="126">
        <v>0</v>
      </c>
      <c r="F431" s="159">
        <v>0</v>
      </c>
      <c r="G431" s="159">
        <v>0</v>
      </c>
      <c r="H431" s="160">
        <v>0</v>
      </c>
    </row>
    <row r="432" spans="2:8" x14ac:dyDescent="0.2">
      <c r="B432" s="265" t="s">
        <v>70</v>
      </c>
      <c r="C432" s="161">
        <v>764</v>
      </c>
      <c r="D432" s="159">
        <f>D429-D431</f>
        <v>764</v>
      </c>
      <c r="E432" s="159">
        <f>E429-E431</f>
        <v>764</v>
      </c>
      <c r="F432" s="159">
        <f>F429-F431</f>
        <v>764</v>
      </c>
      <c r="G432" s="159">
        <f>G429-G431</f>
        <v>764</v>
      </c>
      <c r="H432" s="160">
        <f>D429</f>
        <v>764</v>
      </c>
    </row>
    <row r="433" spans="2:8" x14ac:dyDescent="0.2">
      <c r="B433" s="265"/>
      <c r="C433" s="154"/>
      <c r="D433" s="154"/>
      <c r="E433" s="154"/>
      <c r="F433" s="154"/>
      <c r="G433" s="154"/>
      <c r="H433" s="162"/>
    </row>
    <row r="434" spans="2:8" x14ac:dyDescent="0.2">
      <c r="B434" s="265" t="s">
        <v>69</v>
      </c>
      <c r="C434" s="149">
        <v>3.85E-2</v>
      </c>
      <c r="D434" s="149">
        <v>3.85E-2</v>
      </c>
      <c r="E434" s="149">
        <v>3.85E-2</v>
      </c>
      <c r="F434" s="149">
        <v>3.85E-2</v>
      </c>
      <c r="G434" s="149">
        <v>3.85E-2</v>
      </c>
      <c r="H434" s="171">
        <v>3.85E-2</v>
      </c>
    </row>
    <row r="435" spans="2:8" x14ac:dyDescent="0.2">
      <c r="B435" s="265"/>
      <c r="C435" s="154"/>
      <c r="D435" s="154"/>
      <c r="E435" s="154"/>
      <c r="F435" s="154"/>
      <c r="G435" s="154"/>
      <c r="H435" s="162"/>
    </row>
    <row r="436" spans="2:8" x14ac:dyDescent="0.2">
      <c r="B436" s="213" t="s">
        <v>79</v>
      </c>
      <c r="C436" s="154"/>
      <c r="D436" s="157">
        <f>AVERAGE(D432,C432)</f>
        <v>764</v>
      </c>
      <c r="E436" s="157">
        <f>AVERAGE(E432,D432)</f>
        <v>764</v>
      </c>
      <c r="F436" s="157">
        <f>AVERAGE(F432,E432)</f>
        <v>764</v>
      </c>
      <c r="G436" s="157">
        <f>AVERAGE(G432,F432)</f>
        <v>764</v>
      </c>
      <c r="H436" s="158">
        <f>AVERAGE(H432,G432)</f>
        <v>764</v>
      </c>
    </row>
    <row r="437" spans="2:8" x14ac:dyDescent="0.2">
      <c r="B437" s="264" t="s">
        <v>80</v>
      </c>
      <c r="C437" s="163"/>
      <c r="D437" s="164">
        <f>D436*D434</f>
        <v>29.413999999999998</v>
      </c>
      <c r="E437" s="164">
        <f>E434*E436</f>
        <v>29.413999999999998</v>
      </c>
      <c r="F437" s="164">
        <f>F434*F436</f>
        <v>29.413999999999998</v>
      </c>
      <c r="G437" s="164">
        <f>G434*G436</f>
        <v>29.413999999999998</v>
      </c>
      <c r="H437" s="165">
        <f>H434*H436</f>
        <v>29.413999999999998</v>
      </c>
    </row>
    <row r="438" spans="2:8" x14ac:dyDescent="0.2">
      <c r="B438" s="265"/>
      <c r="C438" s="168"/>
      <c r="D438" s="169"/>
      <c r="E438" s="169"/>
      <c r="F438" s="169"/>
      <c r="G438" s="169"/>
      <c r="H438" s="170"/>
    </row>
    <row r="439" spans="2:8" x14ac:dyDescent="0.2">
      <c r="B439" s="328" t="s">
        <v>120</v>
      </c>
      <c r="C439" s="154"/>
      <c r="D439" s="155">
        <f>C442</f>
        <v>1175</v>
      </c>
      <c r="E439" s="155">
        <f>D442</f>
        <v>1175</v>
      </c>
      <c r="F439" s="155">
        <f>E439</f>
        <v>1175</v>
      </c>
      <c r="G439" s="155">
        <f>F439</f>
        <v>1175</v>
      </c>
      <c r="H439" s="156">
        <f>G439</f>
        <v>1175</v>
      </c>
    </row>
    <row r="440" spans="2:8" x14ac:dyDescent="0.2">
      <c r="B440" s="265"/>
      <c r="C440" s="154"/>
      <c r="D440" s="155"/>
      <c r="E440" s="157"/>
      <c r="F440" s="157"/>
      <c r="G440" s="157"/>
      <c r="H440" s="158"/>
    </row>
    <row r="441" spans="2:8" x14ac:dyDescent="0.2">
      <c r="B441" s="265" t="s">
        <v>78</v>
      </c>
      <c r="C441" s="154"/>
      <c r="D441" s="159">
        <f>0</f>
        <v>0</v>
      </c>
      <c r="E441" s="126">
        <v>0</v>
      </c>
      <c r="F441" s="159">
        <v>0</v>
      </c>
      <c r="G441" s="159">
        <v>0</v>
      </c>
      <c r="H441" s="160">
        <v>0</v>
      </c>
    </row>
    <row r="442" spans="2:8" x14ac:dyDescent="0.2">
      <c r="B442" s="265" t="s">
        <v>70</v>
      </c>
      <c r="C442" s="161">
        <v>1175</v>
      </c>
      <c r="D442" s="159">
        <f>D439-D441</f>
        <v>1175</v>
      </c>
      <c r="E442" s="159">
        <f>E439-E441</f>
        <v>1175</v>
      </c>
      <c r="F442" s="159">
        <f>F439-F441</f>
        <v>1175</v>
      </c>
      <c r="G442" s="159">
        <f>G439-G441</f>
        <v>1175</v>
      </c>
      <c r="H442" s="160">
        <f>D439</f>
        <v>1175</v>
      </c>
    </row>
    <row r="443" spans="2:8" x14ac:dyDescent="0.2">
      <c r="B443" s="265"/>
      <c r="C443" s="154"/>
      <c r="D443" s="154"/>
      <c r="E443" s="154"/>
      <c r="F443" s="154"/>
      <c r="G443" s="154"/>
      <c r="H443" s="162"/>
    </row>
    <row r="444" spans="2:8" x14ac:dyDescent="0.2">
      <c r="B444" s="265" t="s">
        <v>69</v>
      </c>
      <c r="C444" s="149">
        <v>3.5000000000000003E-2</v>
      </c>
      <c r="D444" s="149">
        <v>3.5000000000000003E-2</v>
      </c>
      <c r="E444" s="149">
        <v>3.5000000000000003E-2</v>
      </c>
      <c r="F444" s="149">
        <v>3.5000000000000003E-2</v>
      </c>
      <c r="G444" s="149">
        <v>3.5000000000000003E-2</v>
      </c>
      <c r="H444" s="171">
        <v>3.5000000000000003E-2</v>
      </c>
    </row>
    <row r="445" spans="2:8" x14ac:dyDescent="0.2">
      <c r="B445" s="265"/>
      <c r="C445" s="154"/>
      <c r="D445" s="154"/>
      <c r="E445" s="154"/>
      <c r="F445" s="154"/>
      <c r="G445" s="154"/>
      <c r="H445" s="162"/>
    </row>
    <row r="446" spans="2:8" x14ac:dyDescent="0.2">
      <c r="B446" s="213" t="s">
        <v>79</v>
      </c>
      <c r="C446" s="154"/>
      <c r="D446" s="157">
        <f>AVERAGE(D442,C442)</f>
        <v>1175</v>
      </c>
      <c r="E446" s="157">
        <f>AVERAGE(E442,D442)</f>
        <v>1175</v>
      </c>
      <c r="F446" s="157">
        <f>AVERAGE(F442,E442)</f>
        <v>1175</v>
      </c>
      <c r="G446" s="157">
        <f>AVERAGE(G442,F442)</f>
        <v>1175</v>
      </c>
      <c r="H446" s="158">
        <f>AVERAGE(H442,G442)</f>
        <v>1175</v>
      </c>
    </row>
    <row r="447" spans="2:8" x14ac:dyDescent="0.2">
      <c r="B447" s="264" t="s">
        <v>80</v>
      </c>
      <c r="C447" s="163"/>
      <c r="D447" s="164">
        <f>D446*D444</f>
        <v>41.125000000000007</v>
      </c>
      <c r="E447" s="164">
        <f>E444*E446</f>
        <v>41.125000000000007</v>
      </c>
      <c r="F447" s="164">
        <f>F444*F446</f>
        <v>41.125000000000007</v>
      </c>
      <c r="G447" s="164">
        <f>G444*G446</f>
        <v>41.125000000000007</v>
      </c>
      <c r="H447" s="165">
        <f>H444*H446</f>
        <v>41.125000000000007</v>
      </c>
    </row>
    <row r="448" spans="2:8" x14ac:dyDescent="0.2">
      <c r="B448" s="265"/>
      <c r="C448" s="168"/>
      <c r="D448" s="169"/>
      <c r="E448" s="169"/>
      <c r="F448" s="169"/>
      <c r="G448" s="169"/>
      <c r="H448" s="170"/>
    </row>
    <row r="449" spans="2:8" x14ac:dyDescent="0.2">
      <c r="B449" s="328" t="s">
        <v>121</v>
      </c>
      <c r="C449" s="154"/>
      <c r="D449" s="155">
        <f>C452</f>
        <v>2000</v>
      </c>
      <c r="E449" s="155">
        <f>D452</f>
        <v>2000</v>
      </c>
      <c r="F449" s="155">
        <f>E449</f>
        <v>2000</v>
      </c>
      <c r="G449" s="155">
        <f>F449</f>
        <v>2000</v>
      </c>
      <c r="H449" s="156">
        <f>G449</f>
        <v>2000</v>
      </c>
    </row>
    <row r="450" spans="2:8" x14ac:dyDescent="0.2">
      <c r="B450" s="265"/>
      <c r="C450" s="154"/>
      <c r="D450" s="155"/>
      <c r="E450" s="157"/>
      <c r="F450" s="157"/>
      <c r="G450" s="157"/>
      <c r="H450" s="158"/>
    </row>
    <row r="451" spans="2:8" x14ac:dyDescent="0.2">
      <c r="B451" s="265" t="s">
        <v>78</v>
      </c>
      <c r="C451" s="154"/>
      <c r="D451" s="159">
        <f>0</f>
        <v>0</v>
      </c>
      <c r="E451" s="126">
        <v>0</v>
      </c>
      <c r="F451" s="159">
        <v>0</v>
      </c>
      <c r="G451" s="159">
        <v>0</v>
      </c>
      <c r="H451" s="160">
        <v>0</v>
      </c>
    </row>
    <row r="452" spans="2:8" x14ac:dyDescent="0.2">
      <c r="B452" s="265" t="s">
        <v>70</v>
      </c>
      <c r="C452" s="161">
        <v>2000</v>
      </c>
      <c r="D452" s="159">
        <f>D449-D451</f>
        <v>2000</v>
      </c>
      <c r="E452" s="159">
        <f>E449-E451</f>
        <v>2000</v>
      </c>
      <c r="F452" s="159">
        <f>F449-F451</f>
        <v>2000</v>
      </c>
      <c r="G452" s="159">
        <f>G449-G451</f>
        <v>2000</v>
      </c>
      <c r="H452" s="160">
        <f>D449</f>
        <v>2000</v>
      </c>
    </row>
    <row r="453" spans="2:8" x14ac:dyDescent="0.2">
      <c r="B453" s="265"/>
      <c r="C453" s="154"/>
      <c r="D453" s="154"/>
      <c r="E453" s="154"/>
      <c r="F453" s="154"/>
      <c r="G453" s="154"/>
      <c r="H453" s="162"/>
    </row>
    <row r="454" spans="2:8" x14ac:dyDescent="0.2">
      <c r="B454" s="265" t="s">
        <v>69</v>
      </c>
      <c r="C454" s="149">
        <v>4.3749999999999997E-2</v>
      </c>
      <c r="D454" s="149">
        <v>4.3749999999999997E-2</v>
      </c>
      <c r="E454" s="149">
        <v>4.3749999999999997E-2</v>
      </c>
      <c r="F454" s="149">
        <v>4.3749999999999997E-2</v>
      </c>
      <c r="G454" s="149">
        <v>4.3749999999999997E-2</v>
      </c>
      <c r="H454" s="171">
        <v>4.3749999999999997E-2</v>
      </c>
    </row>
    <row r="455" spans="2:8" x14ac:dyDescent="0.2">
      <c r="B455" s="265"/>
      <c r="C455" s="154"/>
      <c r="D455" s="154"/>
      <c r="E455" s="154"/>
      <c r="F455" s="154"/>
      <c r="G455" s="154"/>
      <c r="H455" s="162"/>
    </row>
    <row r="456" spans="2:8" x14ac:dyDescent="0.2">
      <c r="B456" s="213" t="s">
        <v>79</v>
      </c>
      <c r="C456" s="154"/>
      <c r="D456" s="157">
        <f>AVERAGE(D452,C452)</f>
        <v>2000</v>
      </c>
      <c r="E456" s="157">
        <f>AVERAGE(E452,D452)</f>
        <v>2000</v>
      </c>
      <c r="F456" s="157">
        <f>AVERAGE(F452,E452)</f>
        <v>2000</v>
      </c>
      <c r="G456" s="157">
        <f>AVERAGE(G452,F452)</f>
        <v>2000</v>
      </c>
      <c r="H456" s="158">
        <f>AVERAGE(H452,G452)</f>
        <v>2000</v>
      </c>
    </row>
    <row r="457" spans="2:8" x14ac:dyDescent="0.2">
      <c r="B457" s="264" t="s">
        <v>80</v>
      </c>
      <c r="C457" s="163"/>
      <c r="D457" s="164">
        <f>D456*D454</f>
        <v>87.5</v>
      </c>
      <c r="E457" s="164">
        <f>E454*E456</f>
        <v>87.5</v>
      </c>
      <c r="F457" s="164">
        <f>F454*F456</f>
        <v>87.5</v>
      </c>
      <c r="G457" s="164">
        <f>G454*G456</f>
        <v>87.5</v>
      </c>
      <c r="H457" s="165">
        <f>H454*H456</f>
        <v>87.5</v>
      </c>
    </row>
    <row r="458" spans="2:8" x14ac:dyDescent="0.2">
      <c r="B458" s="265"/>
      <c r="C458" s="168"/>
      <c r="D458" s="169"/>
      <c r="E458" s="169"/>
      <c r="F458" s="169"/>
      <c r="G458" s="169"/>
      <c r="H458" s="170"/>
    </row>
    <row r="459" spans="2:8" x14ac:dyDescent="0.2">
      <c r="B459" s="328" t="s">
        <v>122</v>
      </c>
      <c r="C459" s="154"/>
      <c r="D459" s="155">
        <f>C462</f>
        <v>2500</v>
      </c>
      <c r="E459" s="155">
        <f>D462</f>
        <v>2500</v>
      </c>
      <c r="F459" s="155">
        <f>E459</f>
        <v>2500</v>
      </c>
      <c r="G459" s="155">
        <f>F459</f>
        <v>2500</v>
      </c>
      <c r="H459" s="156">
        <f>G459</f>
        <v>2500</v>
      </c>
    </row>
    <row r="460" spans="2:8" x14ac:dyDescent="0.2">
      <c r="B460" s="265"/>
      <c r="C460" s="154"/>
      <c r="D460" s="155"/>
      <c r="E460" s="157"/>
      <c r="F460" s="157"/>
      <c r="G460" s="157"/>
      <c r="H460" s="158"/>
    </row>
    <row r="461" spans="2:8" x14ac:dyDescent="0.2">
      <c r="B461" s="265" t="s">
        <v>78</v>
      </c>
      <c r="C461" s="154"/>
      <c r="D461" s="159">
        <f>0</f>
        <v>0</v>
      </c>
      <c r="E461" s="126">
        <v>0</v>
      </c>
      <c r="F461" s="159">
        <v>0</v>
      </c>
      <c r="G461" s="159">
        <v>0</v>
      </c>
      <c r="H461" s="160">
        <v>0</v>
      </c>
    </row>
    <row r="462" spans="2:8" x14ac:dyDescent="0.2">
      <c r="B462" s="265" t="s">
        <v>70</v>
      </c>
      <c r="C462" s="161">
        <v>2500</v>
      </c>
      <c r="D462" s="159">
        <f>D459-D461</f>
        <v>2500</v>
      </c>
      <c r="E462" s="159">
        <f>E459-E461</f>
        <v>2500</v>
      </c>
      <c r="F462" s="159">
        <f>F459-F461</f>
        <v>2500</v>
      </c>
      <c r="G462" s="159">
        <f>G459-G461</f>
        <v>2500</v>
      </c>
      <c r="H462" s="160">
        <f>D459</f>
        <v>2500</v>
      </c>
    </row>
    <row r="463" spans="2:8" x14ac:dyDescent="0.2">
      <c r="B463" s="265"/>
      <c r="C463" s="154"/>
      <c r="D463" s="154"/>
      <c r="E463" s="154"/>
      <c r="F463" s="154"/>
      <c r="G463" s="154"/>
      <c r="H463" s="162"/>
    </row>
    <row r="464" spans="2:8" x14ac:dyDescent="0.2">
      <c r="B464" s="265" t="s">
        <v>69</v>
      </c>
      <c r="C464" s="149">
        <v>0.03</v>
      </c>
      <c r="D464" s="149">
        <v>0.03</v>
      </c>
      <c r="E464" s="149">
        <v>0.03</v>
      </c>
      <c r="F464" s="149">
        <v>0.03</v>
      </c>
      <c r="G464" s="149">
        <v>0.03</v>
      </c>
      <c r="H464" s="171">
        <v>0.03</v>
      </c>
    </row>
    <row r="465" spans="2:8" x14ac:dyDescent="0.2">
      <c r="B465" s="265"/>
      <c r="C465" s="154"/>
      <c r="D465" s="154"/>
      <c r="E465" s="154"/>
      <c r="F465" s="154"/>
      <c r="G465" s="154"/>
      <c r="H465" s="162"/>
    </row>
    <row r="466" spans="2:8" x14ac:dyDescent="0.2">
      <c r="B466" s="213" t="s">
        <v>79</v>
      </c>
      <c r="C466" s="154"/>
      <c r="D466" s="157">
        <f>AVERAGE(D462,C462)</f>
        <v>2500</v>
      </c>
      <c r="E466" s="157">
        <f>AVERAGE(E462,D462)</f>
        <v>2500</v>
      </c>
      <c r="F466" s="157">
        <f>AVERAGE(F462,E462)</f>
        <v>2500</v>
      </c>
      <c r="G466" s="157">
        <f>AVERAGE(G462,F462)</f>
        <v>2500</v>
      </c>
      <c r="H466" s="158">
        <f>AVERAGE(H462,G462)</f>
        <v>2500</v>
      </c>
    </row>
    <row r="467" spans="2:8" x14ac:dyDescent="0.2">
      <c r="B467" s="264" t="s">
        <v>80</v>
      </c>
      <c r="C467" s="163"/>
      <c r="D467" s="164">
        <f>D466*D464</f>
        <v>75</v>
      </c>
      <c r="E467" s="164">
        <f>E464*E466</f>
        <v>75</v>
      </c>
      <c r="F467" s="164">
        <f>F464*F466</f>
        <v>75</v>
      </c>
      <c r="G467" s="164">
        <f>G464*G466</f>
        <v>75</v>
      </c>
      <c r="H467" s="165">
        <f>H464*H466</f>
        <v>75</v>
      </c>
    </row>
    <row r="468" spans="2:8" x14ac:dyDescent="0.2">
      <c r="B468" s="265"/>
      <c r="C468" s="168"/>
      <c r="D468" s="169"/>
      <c r="E468" s="169"/>
      <c r="F468" s="169"/>
      <c r="G468" s="169"/>
      <c r="H468" s="170"/>
    </row>
    <row r="469" spans="2:8" x14ac:dyDescent="0.2">
      <c r="B469" s="328" t="s">
        <v>123</v>
      </c>
      <c r="C469" s="154"/>
      <c r="D469" s="155">
        <f>C472</f>
        <v>881</v>
      </c>
      <c r="E469" s="155">
        <f>D472</f>
        <v>881</v>
      </c>
      <c r="F469" s="155">
        <f>E469</f>
        <v>881</v>
      </c>
      <c r="G469" s="155">
        <f>F469</f>
        <v>881</v>
      </c>
      <c r="H469" s="156">
        <f>G469</f>
        <v>881</v>
      </c>
    </row>
    <row r="470" spans="2:8" x14ac:dyDescent="0.2">
      <c r="B470" s="265"/>
      <c r="C470" s="154"/>
      <c r="D470" s="155"/>
      <c r="E470" s="157"/>
      <c r="F470" s="157"/>
      <c r="G470" s="157"/>
      <c r="H470" s="158"/>
    </row>
    <row r="471" spans="2:8" x14ac:dyDescent="0.2">
      <c r="B471" s="265" t="s">
        <v>78</v>
      </c>
      <c r="C471" s="154"/>
      <c r="D471" s="159">
        <f>0</f>
        <v>0</v>
      </c>
      <c r="E471" s="126">
        <v>0</v>
      </c>
      <c r="F471" s="159">
        <v>0</v>
      </c>
      <c r="G471" s="159">
        <v>0</v>
      </c>
      <c r="H471" s="160">
        <v>0</v>
      </c>
    </row>
    <row r="472" spans="2:8" x14ac:dyDescent="0.2">
      <c r="B472" s="265" t="s">
        <v>70</v>
      </c>
      <c r="C472" s="161">
        <v>881</v>
      </c>
      <c r="D472" s="159">
        <f>D469-D471</f>
        <v>881</v>
      </c>
      <c r="E472" s="159">
        <f>E469-E471</f>
        <v>881</v>
      </c>
      <c r="F472" s="159">
        <f>F469-F471</f>
        <v>881</v>
      </c>
      <c r="G472" s="159">
        <f>G469-G471</f>
        <v>881</v>
      </c>
      <c r="H472" s="160">
        <f>D469</f>
        <v>881</v>
      </c>
    </row>
    <row r="473" spans="2:8" x14ac:dyDescent="0.2">
      <c r="B473" s="265"/>
      <c r="C473" s="154"/>
      <c r="D473" s="154"/>
      <c r="E473" s="154"/>
      <c r="F473" s="154"/>
      <c r="G473" s="154"/>
      <c r="H473" s="162"/>
    </row>
    <row r="474" spans="2:8" x14ac:dyDescent="0.2">
      <c r="B474" s="265" t="s">
        <v>69</v>
      </c>
      <c r="C474" s="149">
        <v>3.7999999999999999E-2</v>
      </c>
      <c r="D474" s="149">
        <v>3.7999999999999999E-2</v>
      </c>
      <c r="E474" s="149">
        <v>3.7999999999999999E-2</v>
      </c>
      <c r="F474" s="149">
        <v>3.7999999999999999E-2</v>
      </c>
      <c r="G474" s="149">
        <v>3.7999999999999999E-2</v>
      </c>
      <c r="H474" s="171">
        <v>3.7999999999999999E-2</v>
      </c>
    </row>
    <row r="475" spans="2:8" x14ac:dyDescent="0.2">
      <c r="B475" s="265"/>
      <c r="C475" s="154"/>
      <c r="D475" s="154"/>
      <c r="E475" s="154"/>
      <c r="F475" s="154"/>
      <c r="G475" s="154"/>
      <c r="H475" s="162"/>
    </row>
    <row r="476" spans="2:8" x14ac:dyDescent="0.2">
      <c r="B476" s="213" t="s">
        <v>79</v>
      </c>
      <c r="C476" s="154"/>
      <c r="D476" s="157">
        <f>AVERAGE(D472,C472)</f>
        <v>881</v>
      </c>
      <c r="E476" s="157">
        <f>AVERAGE(E472,D472)</f>
        <v>881</v>
      </c>
      <c r="F476" s="157">
        <f>AVERAGE(F472,E472)</f>
        <v>881</v>
      </c>
      <c r="G476" s="157">
        <f>AVERAGE(G472,F472)</f>
        <v>881</v>
      </c>
      <c r="H476" s="158">
        <f>AVERAGE(H472,G472)</f>
        <v>881</v>
      </c>
    </row>
    <row r="477" spans="2:8" x14ac:dyDescent="0.2">
      <c r="B477" s="264" t="s">
        <v>80</v>
      </c>
      <c r="C477" s="163"/>
      <c r="D477" s="164">
        <f>D476*D474</f>
        <v>33.478000000000002</v>
      </c>
      <c r="E477" s="164">
        <f>E474*E476</f>
        <v>33.478000000000002</v>
      </c>
      <c r="F477" s="164">
        <f>F474*F476</f>
        <v>33.478000000000002</v>
      </c>
      <c r="G477" s="164">
        <f>G474*G476</f>
        <v>33.478000000000002</v>
      </c>
      <c r="H477" s="165">
        <f>H474*H476</f>
        <v>33.478000000000002</v>
      </c>
    </row>
    <row r="478" spans="2:8" x14ac:dyDescent="0.2">
      <c r="B478" s="265"/>
      <c r="C478" s="168"/>
      <c r="D478" s="169"/>
      <c r="E478" s="169"/>
      <c r="F478" s="169"/>
      <c r="G478" s="169"/>
      <c r="H478" s="170"/>
    </row>
    <row r="479" spans="2:8" x14ac:dyDescent="0.2">
      <c r="B479" s="328" t="s">
        <v>124</v>
      </c>
      <c r="C479" s="154"/>
      <c r="D479" s="155">
        <f>C482</f>
        <v>3000</v>
      </c>
      <c r="E479" s="155">
        <f>D482</f>
        <v>3000</v>
      </c>
      <c r="F479" s="155">
        <f>E479</f>
        <v>3000</v>
      </c>
      <c r="G479" s="155">
        <f>F479</f>
        <v>3000</v>
      </c>
      <c r="H479" s="156">
        <f>G479</f>
        <v>3000</v>
      </c>
    </row>
    <row r="480" spans="2:8" x14ac:dyDescent="0.2">
      <c r="B480" s="265"/>
      <c r="C480" s="154"/>
      <c r="D480" s="155"/>
      <c r="E480" s="157"/>
      <c r="F480" s="157"/>
      <c r="G480" s="157"/>
      <c r="H480" s="158"/>
    </row>
    <row r="481" spans="2:8" x14ac:dyDescent="0.2">
      <c r="B481" s="265" t="s">
        <v>78</v>
      </c>
      <c r="C481" s="154"/>
      <c r="D481" s="159">
        <f>0</f>
        <v>0</v>
      </c>
      <c r="E481" s="126">
        <v>0</v>
      </c>
      <c r="F481" s="159">
        <v>0</v>
      </c>
      <c r="G481" s="159">
        <v>0</v>
      </c>
      <c r="H481" s="160">
        <v>0</v>
      </c>
    </row>
    <row r="482" spans="2:8" x14ac:dyDescent="0.2">
      <c r="B482" s="265" t="s">
        <v>70</v>
      </c>
      <c r="C482" s="161">
        <v>3000</v>
      </c>
      <c r="D482" s="159">
        <f>D479-D481</f>
        <v>3000</v>
      </c>
      <c r="E482" s="159">
        <f>E479-E481</f>
        <v>3000</v>
      </c>
      <c r="F482" s="159">
        <f>F479-F481</f>
        <v>3000</v>
      </c>
      <c r="G482" s="159">
        <f>G479-G481</f>
        <v>3000</v>
      </c>
      <c r="H482" s="160">
        <f>D479</f>
        <v>3000</v>
      </c>
    </row>
    <row r="483" spans="2:8" x14ac:dyDescent="0.2">
      <c r="B483" s="265"/>
      <c r="C483" s="154"/>
      <c r="D483" s="154"/>
      <c r="E483" s="154"/>
      <c r="F483" s="154"/>
      <c r="G483" s="154"/>
      <c r="H483" s="162"/>
    </row>
    <row r="484" spans="2:8" x14ac:dyDescent="0.2">
      <c r="B484" s="265" t="s">
        <v>69</v>
      </c>
      <c r="C484" s="149">
        <v>4.4999999999999998E-2</v>
      </c>
      <c r="D484" s="149">
        <v>4.4999999999999998E-2</v>
      </c>
      <c r="E484" s="149">
        <v>4.4999999999999998E-2</v>
      </c>
      <c r="F484" s="149">
        <v>4.4999999999999998E-2</v>
      </c>
      <c r="G484" s="149">
        <v>4.4999999999999998E-2</v>
      </c>
      <c r="H484" s="171">
        <v>4.4999999999999998E-2</v>
      </c>
    </row>
    <row r="485" spans="2:8" x14ac:dyDescent="0.2">
      <c r="B485" s="265"/>
      <c r="C485" s="154"/>
      <c r="D485" s="154"/>
      <c r="E485" s="154"/>
      <c r="F485" s="154"/>
      <c r="G485" s="154"/>
      <c r="H485" s="162"/>
    </row>
    <row r="486" spans="2:8" x14ac:dyDescent="0.2">
      <c r="B486" s="213" t="s">
        <v>79</v>
      </c>
      <c r="C486" s="154"/>
      <c r="D486" s="157">
        <f>AVERAGE(D482,C482)</f>
        <v>3000</v>
      </c>
      <c r="E486" s="157">
        <f>AVERAGE(E482,D482)</f>
        <v>3000</v>
      </c>
      <c r="F486" s="157">
        <f>AVERAGE(F482,E482)</f>
        <v>3000</v>
      </c>
      <c r="G486" s="157">
        <f>AVERAGE(G482,F482)</f>
        <v>3000</v>
      </c>
      <c r="H486" s="158">
        <f>AVERAGE(H482,G482)</f>
        <v>3000</v>
      </c>
    </row>
    <row r="487" spans="2:8" x14ac:dyDescent="0.2">
      <c r="B487" s="264" t="s">
        <v>80</v>
      </c>
      <c r="C487" s="163"/>
      <c r="D487" s="164">
        <f>D486*D484</f>
        <v>135</v>
      </c>
      <c r="E487" s="164">
        <f>E484*E486</f>
        <v>135</v>
      </c>
      <c r="F487" s="164">
        <f>F484*F486</f>
        <v>135</v>
      </c>
      <c r="G487" s="164">
        <f>G484*G486</f>
        <v>135</v>
      </c>
      <c r="H487" s="165">
        <f>H484*H486</f>
        <v>135</v>
      </c>
    </row>
    <row r="488" spans="2:8" x14ac:dyDescent="0.2">
      <c r="B488" s="265"/>
      <c r="C488" s="168"/>
      <c r="D488" s="169"/>
      <c r="E488" s="169"/>
      <c r="F488" s="169"/>
      <c r="G488" s="169"/>
      <c r="H488" s="170"/>
    </row>
    <row r="489" spans="2:8" x14ac:dyDescent="0.2">
      <c r="B489" s="328" t="s">
        <v>125</v>
      </c>
      <c r="C489" s="154"/>
      <c r="D489" s="155">
        <f>C492</f>
        <v>3000</v>
      </c>
      <c r="E489" s="155">
        <f>D492</f>
        <v>3000</v>
      </c>
      <c r="F489" s="155">
        <f>E489</f>
        <v>3000</v>
      </c>
      <c r="G489" s="155">
        <f>F489</f>
        <v>3000</v>
      </c>
      <c r="H489" s="156">
        <f>G489</f>
        <v>3000</v>
      </c>
    </row>
    <row r="490" spans="2:8" x14ac:dyDescent="0.2">
      <c r="B490" s="265"/>
      <c r="C490" s="154"/>
      <c r="D490" s="155"/>
      <c r="E490" s="157"/>
      <c r="F490" s="157"/>
      <c r="G490" s="157"/>
      <c r="H490" s="158"/>
    </row>
    <row r="491" spans="2:8" x14ac:dyDescent="0.2">
      <c r="B491" s="265" t="s">
        <v>78</v>
      </c>
      <c r="C491" s="154"/>
      <c r="D491" s="159">
        <f>0</f>
        <v>0</v>
      </c>
      <c r="E491" s="126">
        <v>0</v>
      </c>
      <c r="F491" s="159">
        <v>0</v>
      </c>
      <c r="G491" s="159">
        <v>0</v>
      </c>
      <c r="H491" s="160">
        <v>0</v>
      </c>
    </row>
    <row r="492" spans="2:8" x14ac:dyDescent="0.2">
      <c r="B492" s="265" t="s">
        <v>70</v>
      </c>
      <c r="C492" s="161">
        <v>3000</v>
      </c>
      <c r="D492" s="159">
        <f>D489-D491</f>
        <v>3000</v>
      </c>
      <c r="E492" s="159">
        <f>E489-E491</f>
        <v>3000</v>
      </c>
      <c r="F492" s="159">
        <f>F489-F491</f>
        <v>3000</v>
      </c>
      <c r="G492" s="159">
        <f>G489-G491</f>
        <v>3000</v>
      </c>
      <c r="H492" s="160">
        <f>D489</f>
        <v>3000</v>
      </c>
    </row>
    <row r="493" spans="2:8" x14ac:dyDescent="0.2">
      <c r="B493" s="265"/>
      <c r="C493" s="154"/>
      <c r="D493" s="154"/>
      <c r="E493" s="154"/>
      <c r="F493" s="154"/>
      <c r="G493" s="154"/>
      <c r="H493" s="162"/>
    </row>
    <row r="494" spans="2:8" x14ac:dyDescent="0.2">
      <c r="B494" s="265" t="s">
        <v>69</v>
      </c>
      <c r="C494" s="149">
        <v>3.3000000000000002E-2</v>
      </c>
      <c r="D494" s="149">
        <v>3.3000000000000002E-2</v>
      </c>
      <c r="E494" s="149">
        <v>3.3000000000000002E-2</v>
      </c>
      <c r="F494" s="149">
        <v>3.3000000000000002E-2</v>
      </c>
      <c r="G494" s="149">
        <v>3.3000000000000002E-2</v>
      </c>
      <c r="H494" s="171">
        <v>3.3000000000000002E-2</v>
      </c>
    </row>
    <row r="495" spans="2:8" x14ac:dyDescent="0.2">
      <c r="B495" s="265"/>
      <c r="C495" s="154"/>
      <c r="D495" s="154"/>
      <c r="E495" s="154"/>
      <c r="F495" s="154"/>
      <c r="G495" s="154"/>
      <c r="H495" s="162"/>
    </row>
    <row r="496" spans="2:8" x14ac:dyDescent="0.2">
      <c r="B496" s="213" t="s">
        <v>79</v>
      </c>
      <c r="C496" s="154"/>
      <c r="D496" s="157">
        <f>AVERAGE(D492,C492)</f>
        <v>3000</v>
      </c>
      <c r="E496" s="157">
        <f>AVERAGE(E492,D492)</f>
        <v>3000</v>
      </c>
      <c r="F496" s="157">
        <f>AVERAGE(F492,E492)</f>
        <v>3000</v>
      </c>
      <c r="G496" s="157">
        <f>AVERAGE(G492,F492)</f>
        <v>3000</v>
      </c>
      <c r="H496" s="158">
        <f>AVERAGE(H492,G492)</f>
        <v>3000</v>
      </c>
    </row>
    <row r="497" spans="2:8" x14ac:dyDescent="0.2">
      <c r="B497" s="264" t="s">
        <v>80</v>
      </c>
      <c r="C497" s="163"/>
      <c r="D497" s="164">
        <f>D496*D494</f>
        <v>99</v>
      </c>
      <c r="E497" s="164">
        <f>E494*E496</f>
        <v>99</v>
      </c>
      <c r="F497" s="164">
        <f>F494*F496</f>
        <v>99</v>
      </c>
      <c r="G497" s="164">
        <f>G494*G496</f>
        <v>99</v>
      </c>
      <c r="H497" s="165">
        <f>H494*H496</f>
        <v>99</v>
      </c>
    </row>
    <row r="498" spans="2:8" x14ac:dyDescent="0.2">
      <c r="B498" s="265"/>
      <c r="C498" s="168"/>
      <c r="D498" s="169"/>
      <c r="E498" s="169"/>
      <c r="F498" s="169"/>
      <c r="G498" s="169"/>
      <c r="H498" s="170"/>
    </row>
    <row r="499" spans="2:8" x14ac:dyDescent="0.2">
      <c r="B499" s="328" t="s">
        <v>126</v>
      </c>
      <c r="C499" s="154"/>
      <c r="D499" s="155">
        <f>C502</f>
        <v>2800</v>
      </c>
      <c r="E499" s="155">
        <f>D502</f>
        <v>2800</v>
      </c>
      <c r="F499" s="155">
        <f>E499</f>
        <v>2800</v>
      </c>
      <c r="G499" s="155">
        <f>F499</f>
        <v>2800</v>
      </c>
      <c r="H499" s="156">
        <f>G499</f>
        <v>2800</v>
      </c>
    </row>
    <row r="500" spans="2:8" x14ac:dyDescent="0.2">
      <c r="B500" s="265"/>
      <c r="C500" s="154"/>
      <c r="D500" s="155"/>
      <c r="E500" s="157"/>
      <c r="F500" s="157"/>
      <c r="G500" s="157"/>
      <c r="H500" s="158"/>
    </row>
    <row r="501" spans="2:8" x14ac:dyDescent="0.2">
      <c r="B501" s="265" t="s">
        <v>78</v>
      </c>
      <c r="C501" s="154"/>
      <c r="D501" s="159">
        <f>0</f>
        <v>0</v>
      </c>
      <c r="E501" s="126">
        <v>0</v>
      </c>
      <c r="F501" s="159">
        <v>0</v>
      </c>
      <c r="G501" s="159">
        <v>0</v>
      </c>
      <c r="H501" s="160">
        <v>0</v>
      </c>
    </row>
    <row r="502" spans="2:8" x14ac:dyDescent="0.2">
      <c r="B502" s="265" t="s">
        <v>70</v>
      </c>
      <c r="C502" s="161">
        <v>2800</v>
      </c>
      <c r="D502" s="159">
        <f>D499-D501</f>
        <v>2800</v>
      </c>
      <c r="E502" s="159">
        <f>E499-E501</f>
        <v>2800</v>
      </c>
      <c r="F502" s="159">
        <f>F499-F501</f>
        <v>2800</v>
      </c>
      <c r="G502" s="159">
        <f>G499-G501</f>
        <v>2800</v>
      </c>
      <c r="H502" s="160">
        <f>D499</f>
        <v>2800</v>
      </c>
    </row>
    <row r="503" spans="2:8" x14ac:dyDescent="0.2">
      <c r="B503" s="265"/>
      <c r="C503" s="154"/>
      <c r="D503" s="154"/>
      <c r="E503" s="154"/>
      <c r="F503" s="154"/>
      <c r="G503" s="154"/>
      <c r="H503" s="162"/>
    </row>
    <row r="504" spans="2:8" x14ac:dyDescent="0.2">
      <c r="B504" s="265" t="s">
        <v>69</v>
      </c>
      <c r="C504" s="149">
        <v>3.4000000000000002E-2</v>
      </c>
      <c r="D504" s="149">
        <v>3.4000000000000002E-2</v>
      </c>
      <c r="E504" s="149">
        <v>3.4000000000000002E-2</v>
      </c>
      <c r="F504" s="149">
        <v>3.4000000000000002E-2</v>
      </c>
      <c r="G504" s="149">
        <v>3.4000000000000002E-2</v>
      </c>
      <c r="H504" s="171">
        <v>3.4000000000000002E-2</v>
      </c>
    </row>
    <row r="505" spans="2:8" x14ac:dyDescent="0.2">
      <c r="B505" s="265"/>
      <c r="C505" s="154"/>
      <c r="D505" s="154"/>
      <c r="E505" s="154"/>
      <c r="F505" s="154"/>
      <c r="G505" s="154"/>
      <c r="H505" s="162"/>
    </row>
    <row r="506" spans="2:8" x14ac:dyDescent="0.2">
      <c r="B506" s="213" t="s">
        <v>79</v>
      </c>
      <c r="C506" s="154"/>
      <c r="D506" s="157">
        <f>AVERAGE(D502,C502)</f>
        <v>2800</v>
      </c>
      <c r="E506" s="157">
        <f>AVERAGE(E502,D502)</f>
        <v>2800</v>
      </c>
      <c r="F506" s="157">
        <f>AVERAGE(F502,E502)</f>
        <v>2800</v>
      </c>
      <c r="G506" s="157">
        <f>AVERAGE(G502,F502)</f>
        <v>2800</v>
      </c>
      <c r="H506" s="158">
        <f>AVERAGE(H502,G502)</f>
        <v>2800</v>
      </c>
    </row>
    <row r="507" spans="2:8" x14ac:dyDescent="0.2">
      <c r="B507" s="264" t="s">
        <v>80</v>
      </c>
      <c r="C507" s="163"/>
      <c r="D507" s="164">
        <f>D506*D504</f>
        <v>95.2</v>
      </c>
      <c r="E507" s="164">
        <f>E504*E506</f>
        <v>95.2</v>
      </c>
      <c r="F507" s="164">
        <f>F504*F506</f>
        <v>95.2</v>
      </c>
      <c r="G507" s="164">
        <f>G504*G506</f>
        <v>95.2</v>
      </c>
      <c r="H507" s="165">
        <f>H504*H506</f>
        <v>95.2</v>
      </c>
    </row>
    <row r="508" spans="2:8" x14ac:dyDescent="0.2">
      <c r="B508" s="265"/>
      <c r="C508" s="168"/>
      <c r="D508" s="169"/>
      <c r="E508" s="169"/>
      <c r="F508" s="169"/>
      <c r="G508" s="169"/>
      <c r="H508" s="170"/>
    </row>
    <row r="509" spans="2:8" x14ac:dyDescent="0.2">
      <c r="B509" s="328" t="s">
        <v>127</v>
      </c>
      <c r="C509" s="154"/>
      <c r="D509" s="155">
        <f>C512</f>
        <v>1750</v>
      </c>
      <c r="E509" s="155">
        <f>D512</f>
        <v>1750</v>
      </c>
      <c r="F509" s="155">
        <f>E509</f>
        <v>1750</v>
      </c>
      <c r="G509" s="155">
        <f>F509</f>
        <v>1750</v>
      </c>
      <c r="H509" s="156">
        <f>G509</f>
        <v>1750</v>
      </c>
    </row>
    <row r="510" spans="2:8" x14ac:dyDescent="0.2">
      <c r="B510" s="265"/>
      <c r="C510" s="154"/>
      <c r="D510" s="155"/>
      <c r="E510" s="157"/>
      <c r="F510" s="157"/>
      <c r="G510" s="157"/>
      <c r="H510" s="158"/>
    </row>
    <row r="511" spans="2:8" x14ac:dyDescent="0.2">
      <c r="B511" s="265" t="s">
        <v>78</v>
      </c>
      <c r="C511" s="154"/>
      <c r="D511" s="159">
        <f>0</f>
        <v>0</v>
      </c>
      <c r="E511" s="126">
        <v>0</v>
      </c>
      <c r="F511" s="159">
        <v>0</v>
      </c>
      <c r="G511" s="159">
        <v>0</v>
      </c>
      <c r="H511" s="160">
        <v>0</v>
      </c>
    </row>
    <row r="512" spans="2:8" x14ac:dyDescent="0.2">
      <c r="B512" s="265" t="s">
        <v>70</v>
      </c>
      <c r="C512" s="161">
        <v>1750</v>
      </c>
      <c r="D512" s="159">
        <f>D509-D511</f>
        <v>1750</v>
      </c>
      <c r="E512" s="159">
        <f>E509-E511</f>
        <v>1750</v>
      </c>
      <c r="F512" s="159">
        <f>F509-F511</f>
        <v>1750</v>
      </c>
      <c r="G512" s="159">
        <f>G509-G511</f>
        <v>1750</v>
      </c>
      <c r="H512" s="160">
        <f>D509</f>
        <v>1750</v>
      </c>
    </row>
    <row r="513" spans="2:8" x14ac:dyDescent="0.2">
      <c r="B513" s="265"/>
      <c r="C513" s="154"/>
      <c r="D513" s="154"/>
      <c r="E513" s="154"/>
      <c r="F513" s="154"/>
      <c r="G513" s="154"/>
      <c r="H513" s="162"/>
    </row>
    <row r="514" spans="2:8" x14ac:dyDescent="0.2">
      <c r="B514" s="265" t="s">
        <v>69</v>
      </c>
      <c r="C514" s="149">
        <v>5.6500000000000002E-2</v>
      </c>
      <c r="D514" s="149">
        <v>5.6500000000000002E-2</v>
      </c>
      <c r="E514" s="149">
        <v>5.6500000000000002E-2</v>
      </c>
      <c r="F514" s="149">
        <v>5.6500000000000002E-2</v>
      </c>
      <c r="G514" s="149">
        <v>5.6500000000000002E-2</v>
      </c>
      <c r="H514" s="171">
        <v>5.6500000000000002E-2</v>
      </c>
    </row>
    <row r="515" spans="2:8" x14ac:dyDescent="0.2">
      <c r="B515" s="265"/>
      <c r="C515" s="154"/>
      <c r="D515" s="154"/>
      <c r="E515" s="154"/>
      <c r="F515" s="154"/>
      <c r="G515" s="154"/>
      <c r="H515" s="162"/>
    </row>
    <row r="516" spans="2:8" x14ac:dyDescent="0.2">
      <c r="B516" s="213" t="s">
        <v>79</v>
      </c>
      <c r="C516" s="154"/>
      <c r="D516" s="157">
        <f>AVERAGE(D512,C512)</f>
        <v>1750</v>
      </c>
      <c r="E516" s="157">
        <f>AVERAGE(E512,D512)</f>
        <v>1750</v>
      </c>
      <c r="F516" s="157">
        <f>AVERAGE(F512,E512)</f>
        <v>1750</v>
      </c>
      <c r="G516" s="157">
        <f>AVERAGE(G512,F512)</f>
        <v>1750</v>
      </c>
      <c r="H516" s="158">
        <f>AVERAGE(H512,G512)</f>
        <v>1750</v>
      </c>
    </row>
    <row r="517" spans="2:8" x14ac:dyDescent="0.2">
      <c r="B517" s="264" t="s">
        <v>80</v>
      </c>
      <c r="C517" s="163"/>
      <c r="D517" s="164">
        <f>D516*D514</f>
        <v>98.875</v>
      </c>
      <c r="E517" s="164">
        <f>E514*E516</f>
        <v>98.875</v>
      </c>
      <c r="F517" s="164">
        <f>F514*F516</f>
        <v>98.875</v>
      </c>
      <c r="G517" s="164">
        <f>G514*G516</f>
        <v>98.875</v>
      </c>
      <c r="H517" s="165">
        <f>H514*H516</f>
        <v>98.875</v>
      </c>
    </row>
    <row r="518" spans="2:8" x14ac:dyDescent="0.2">
      <c r="B518" s="265"/>
      <c r="C518" s="168"/>
      <c r="D518" s="169"/>
      <c r="E518" s="169"/>
      <c r="F518" s="169"/>
      <c r="G518" s="169"/>
      <c r="H518" s="170"/>
    </row>
    <row r="519" spans="2:8" x14ac:dyDescent="0.2">
      <c r="B519" s="328" t="s">
        <v>128</v>
      </c>
      <c r="C519" s="154"/>
      <c r="D519" s="155">
        <f>C522</f>
        <v>1250</v>
      </c>
      <c r="E519" s="155">
        <f>D522</f>
        <v>1250</v>
      </c>
      <c r="F519" s="155">
        <f>E519</f>
        <v>1250</v>
      </c>
      <c r="G519" s="155">
        <f>F519</f>
        <v>1250</v>
      </c>
      <c r="H519" s="156">
        <f>G519</f>
        <v>1250</v>
      </c>
    </row>
    <row r="520" spans="2:8" x14ac:dyDescent="0.2">
      <c r="B520" s="265"/>
      <c r="C520" s="154"/>
      <c r="D520" s="155"/>
      <c r="E520" s="157"/>
      <c r="F520" s="157"/>
      <c r="G520" s="157"/>
      <c r="H520" s="158"/>
    </row>
    <row r="521" spans="2:8" x14ac:dyDescent="0.2">
      <c r="B521" s="265" t="s">
        <v>78</v>
      </c>
      <c r="C521" s="154"/>
      <c r="D521" s="159">
        <f>0</f>
        <v>0</v>
      </c>
      <c r="E521" s="126">
        <v>0</v>
      </c>
      <c r="F521" s="159">
        <v>0</v>
      </c>
      <c r="G521" s="159">
        <v>0</v>
      </c>
      <c r="H521" s="160">
        <v>0</v>
      </c>
    </row>
    <row r="522" spans="2:8" x14ac:dyDescent="0.2">
      <c r="B522" s="265" t="s">
        <v>70</v>
      </c>
      <c r="C522" s="161">
        <v>1250</v>
      </c>
      <c r="D522" s="159">
        <f>D519-D521</f>
        <v>1250</v>
      </c>
      <c r="E522" s="159">
        <f>E519-E521</f>
        <v>1250</v>
      </c>
      <c r="F522" s="159">
        <f>F519-F521</f>
        <v>1250</v>
      </c>
      <c r="G522" s="159">
        <f>G519-G521</f>
        <v>1250</v>
      </c>
      <c r="H522" s="160">
        <f>D519</f>
        <v>1250</v>
      </c>
    </row>
    <row r="523" spans="2:8" x14ac:dyDescent="0.2">
      <c r="B523" s="265"/>
      <c r="C523" s="154"/>
      <c r="D523" s="154"/>
      <c r="E523" s="154"/>
      <c r="F523" s="154"/>
      <c r="G523" s="154"/>
      <c r="H523" s="162"/>
    </row>
    <row r="524" spans="2:8" x14ac:dyDescent="0.2">
      <c r="B524" s="265" t="s">
        <v>69</v>
      </c>
      <c r="C524" s="149">
        <v>5.7500000000000002E-2</v>
      </c>
      <c r="D524" s="149">
        <v>5.7500000000000002E-2</v>
      </c>
      <c r="E524" s="149">
        <v>5.7500000000000002E-2</v>
      </c>
      <c r="F524" s="149">
        <v>5.7500000000000002E-2</v>
      </c>
      <c r="G524" s="149">
        <v>5.7500000000000002E-2</v>
      </c>
      <c r="H524" s="171">
        <v>5.7500000000000002E-2</v>
      </c>
    </row>
    <row r="525" spans="2:8" x14ac:dyDescent="0.2">
      <c r="B525" s="265"/>
      <c r="D525" s="154"/>
      <c r="E525" s="154"/>
      <c r="F525" s="154"/>
      <c r="G525" s="154"/>
      <c r="H525" s="162"/>
    </row>
    <row r="526" spans="2:8" x14ac:dyDescent="0.2">
      <c r="B526" s="213" t="s">
        <v>79</v>
      </c>
      <c r="C526" s="154"/>
      <c r="D526" s="157">
        <f>AVERAGE(D522,C522)</f>
        <v>1250</v>
      </c>
      <c r="E526" s="157">
        <f>AVERAGE(E522,D522)</f>
        <v>1250</v>
      </c>
      <c r="F526" s="157">
        <f>AVERAGE(F522,E522)</f>
        <v>1250</v>
      </c>
      <c r="G526" s="157">
        <f>AVERAGE(G522,F522)</f>
        <v>1250</v>
      </c>
      <c r="H526" s="158">
        <f>AVERAGE(H522,G522)</f>
        <v>1250</v>
      </c>
    </row>
    <row r="527" spans="2:8" x14ac:dyDescent="0.2">
      <c r="B527" s="264" t="s">
        <v>80</v>
      </c>
      <c r="C527" s="163"/>
      <c r="D527" s="164">
        <f>D526*D524</f>
        <v>71.875</v>
      </c>
      <c r="E527" s="164">
        <f>E524*E526</f>
        <v>71.875</v>
      </c>
      <c r="F527" s="164">
        <f>F524*F526</f>
        <v>71.875</v>
      </c>
      <c r="G527" s="164">
        <f>G524*G526</f>
        <v>71.875</v>
      </c>
      <c r="H527" s="165">
        <f>H524*H526</f>
        <v>71.875</v>
      </c>
    </row>
    <row r="528" spans="2:8" x14ac:dyDescent="0.2">
      <c r="B528" s="265"/>
      <c r="C528" s="168"/>
      <c r="D528" s="169"/>
      <c r="E528" s="169"/>
      <c r="F528" s="169"/>
      <c r="G528" s="169"/>
      <c r="H528" s="170"/>
    </row>
    <row r="529" spans="2:8" x14ac:dyDescent="0.2">
      <c r="B529" s="328" t="s">
        <v>129</v>
      </c>
      <c r="C529" s="154"/>
      <c r="D529" s="155">
        <f>C532</f>
        <v>1000</v>
      </c>
      <c r="E529" s="155">
        <f>D532</f>
        <v>1000</v>
      </c>
      <c r="F529" s="155">
        <f>E529</f>
        <v>1000</v>
      </c>
      <c r="G529" s="155">
        <f>F529</f>
        <v>1000</v>
      </c>
      <c r="H529" s="156">
        <f>G529</f>
        <v>1000</v>
      </c>
    </row>
    <row r="530" spans="2:8" x14ac:dyDescent="0.2">
      <c r="B530" s="265"/>
      <c r="C530" s="154"/>
      <c r="D530" s="155"/>
      <c r="E530" s="157"/>
      <c r="F530" s="157"/>
      <c r="G530" s="157"/>
      <c r="H530" s="158"/>
    </row>
    <row r="531" spans="2:8" x14ac:dyDescent="0.2">
      <c r="B531" s="265" t="s">
        <v>78</v>
      </c>
      <c r="C531" s="154"/>
      <c r="D531" s="159">
        <f>0</f>
        <v>0</v>
      </c>
      <c r="E531" s="126">
        <v>0</v>
      </c>
      <c r="F531" s="159">
        <v>0</v>
      </c>
      <c r="G531" s="159">
        <v>0</v>
      </c>
      <c r="H531" s="160">
        <v>0</v>
      </c>
    </row>
    <row r="532" spans="2:8" x14ac:dyDescent="0.2">
      <c r="B532" s="265" t="s">
        <v>70</v>
      </c>
      <c r="C532" s="161">
        <v>1000</v>
      </c>
      <c r="D532" s="159">
        <f>D529-D531</f>
        <v>1000</v>
      </c>
      <c r="E532" s="159">
        <f>E529-E531</f>
        <v>1000</v>
      </c>
      <c r="F532" s="159">
        <f>F529-F531</f>
        <v>1000</v>
      </c>
      <c r="G532" s="159">
        <f>G529-G531</f>
        <v>1000</v>
      </c>
      <c r="H532" s="160">
        <f>D529</f>
        <v>1000</v>
      </c>
    </row>
    <row r="533" spans="2:8" x14ac:dyDescent="0.2">
      <c r="B533" s="265"/>
      <c r="C533" s="154"/>
      <c r="D533" s="154"/>
      <c r="E533" s="154"/>
      <c r="F533" s="154"/>
      <c r="G533" s="154"/>
      <c r="H533" s="162"/>
    </row>
    <row r="534" spans="2:8" x14ac:dyDescent="0.2">
      <c r="B534" s="265" t="s">
        <v>69</v>
      </c>
      <c r="C534" s="149">
        <v>0.06</v>
      </c>
      <c r="D534" s="149">
        <v>0.06</v>
      </c>
      <c r="E534" s="149">
        <v>0.06</v>
      </c>
      <c r="F534" s="149">
        <v>0.06</v>
      </c>
      <c r="G534" s="149">
        <v>0.06</v>
      </c>
      <c r="H534" s="171">
        <v>0.06</v>
      </c>
    </row>
    <row r="535" spans="2:8" x14ac:dyDescent="0.2">
      <c r="B535" s="265"/>
      <c r="D535" s="154"/>
      <c r="E535" s="154"/>
      <c r="F535" s="154"/>
      <c r="G535" s="154"/>
      <c r="H535" s="162"/>
    </row>
    <row r="536" spans="2:8" x14ac:dyDescent="0.2">
      <c r="B536" s="213" t="s">
        <v>79</v>
      </c>
      <c r="C536" s="154"/>
      <c r="D536" s="157">
        <f>AVERAGE(D532,C532)</f>
        <v>1000</v>
      </c>
      <c r="E536" s="157">
        <f>AVERAGE(E532,D532)</f>
        <v>1000</v>
      </c>
      <c r="F536" s="157">
        <f>AVERAGE(F532,E532)</f>
        <v>1000</v>
      </c>
      <c r="G536" s="157">
        <f>AVERAGE(G532,F532)</f>
        <v>1000</v>
      </c>
      <c r="H536" s="158">
        <f>AVERAGE(H532,G532)</f>
        <v>1000</v>
      </c>
    </row>
    <row r="537" spans="2:8" x14ac:dyDescent="0.2">
      <c r="B537" s="264" t="s">
        <v>80</v>
      </c>
      <c r="C537" s="163"/>
      <c r="D537" s="164">
        <f>D536*D534</f>
        <v>60</v>
      </c>
      <c r="E537" s="164">
        <f>E534*E536</f>
        <v>60</v>
      </c>
      <c r="F537" s="164">
        <f>F534*F536</f>
        <v>60</v>
      </c>
      <c r="G537" s="164">
        <f>G534*G536</f>
        <v>60</v>
      </c>
      <c r="H537" s="165">
        <f>H534*H536</f>
        <v>60</v>
      </c>
    </row>
    <row r="538" spans="2:8" x14ac:dyDescent="0.2">
      <c r="B538" s="265"/>
      <c r="C538" s="168"/>
      <c r="D538" s="169"/>
      <c r="E538" s="169"/>
      <c r="F538" s="169"/>
      <c r="G538" s="169"/>
      <c r="H538" s="170"/>
    </row>
    <row r="539" spans="2:8" x14ac:dyDescent="0.2">
      <c r="B539" s="328" t="s">
        <v>130</v>
      </c>
      <c r="C539" s="154"/>
      <c r="D539" s="155">
        <f>C542</f>
        <v>900</v>
      </c>
      <c r="E539" s="155">
        <f>D542</f>
        <v>900</v>
      </c>
      <c r="F539" s="155">
        <f>E539</f>
        <v>900</v>
      </c>
      <c r="G539" s="155">
        <f>F539</f>
        <v>900</v>
      </c>
      <c r="H539" s="156">
        <f>G539</f>
        <v>900</v>
      </c>
    </row>
    <row r="540" spans="2:8" x14ac:dyDescent="0.2">
      <c r="B540" s="265"/>
      <c r="C540" s="154"/>
      <c r="D540" s="155"/>
      <c r="E540" s="157"/>
      <c r="F540" s="157"/>
      <c r="G540" s="157"/>
      <c r="H540" s="158"/>
    </row>
    <row r="541" spans="2:8" x14ac:dyDescent="0.2">
      <c r="B541" s="265" t="s">
        <v>78</v>
      </c>
      <c r="C541" s="154"/>
      <c r="D541" s="159">
        <f>0</f>
        <v>0</v>
      </c>
      <c r="E541" s="126">
        <v>0</v>
      </c>
      <c r="F541" s="159">
        <v>0</v>
      </c>
      <c r="G541" s="159">
        <v>0</v>
      </c>
      <c r="H541" s="160">
        <v>0</v>
      </c>
    </row>
    <row r="542" spans="2:8" x14ac:dyDescent="0.2">
      <c r="B542" s="265" t="s">
        <v>70</v>
      </c>
      <c r="C542" s="161">
        <v>900</v>
      </c>
      <c r="D542" s="159">
        <f>D539-D541</f>
        <v>900</v>
      </c>
      <c r="E542" s="159">
        <f>E539-E541</f>
        <v>900</v>
      </c>
      <c r="F542" s="159">
        <f>F539-F541</f>
        <v>900</v>
      </c>
      <c r="G542" s="159">
        <f>G539-G541</f>
        <v>900</v>
      </c>
      <c r="H542" s="160">
        <f>D539</f>
        <v>900</v>
      </c>
    </row>
    <row r="543" spans="2:8" x14ac:dyDescent="0.2">
      <c r="B543" s="265"/>
      <c r="C543" s="154"/>
      <c r="D543" s="154"/>
      <c r="E543" s="154"/>
      <c r="F543" s="154"/>
      <c r="G543" s="154"/>
      <c r="H543" s="162"/>
    </row>
    <row r="544" spans="2:8" x14ac:dyDescent="0.2">
      <c r="B544" s="265" t="s">
        <v>69</v>
      </c>
      <c r="C544" s="149">
        <v>5.2499999999999998E-2</v>
      </c>
      <c r="D544" s="149">
        <v>5.2499999999999998E-2</v>
      </c>
      <c r="E544" s="149">
        <v>5.2499999999999998E-2</v>
      </c>
      <c r="F544" s="149">
        <v>5.2499999999999998E-2</v>
      </c>
      <c r="G544" s="149">
        <v>5.2499999999999998E-2</v>
      </c>
      <c r="H544" s="171">
        <v>5.2499999999999998E-2</v>
      </c>
    </row>
    <row r="545" spans="2:8" x14ac:dyDescent="0.2">
      <c r="B545" s="265"/>
      <c r="D545" s="154"/>
      <c r="E545" s="154"/>
      <c r="F545" s="154"/>
      <c r="G545" s="154"/>
      <c r="H545" s="162"/>
    </row>
    <row r="546" spans="2:8" x14ac:dyDescent="0.2">
      <c r="B546" s="213" t="s">
        <v>79</v>
      </c>
      <c r="C546" s="154"/>
      <c r="D546" s="157">
        <f>AVERAGE(D542,C542)</f>
        <v>900</v>
      </c>
      <c r="E546" s="157">
        <f>AVERAGE(E542,D542)</f>
        <v>900</v>
      </c>
      <c r="F546" s="157">
        <f>AVERAGE(F542,E542)</f>
        <v>900</v>
      </c>
      <c r="G546" s="157">
        <f>AVERAGE(G542,F542)</f>
        <v>900</v>
      </c>
      <c r="H546" s="158">
        <f>AVERAGE(H542,G542)</f>
        <v>900</v>
      </c>
    </row>
    <row r="547" spans="2:8" x14ac:dyDescent="0.2">
      <c r="B547" s="264" t="s">
        <v>80</v>
      </c>
      <c r="C547" s="163"/>
      <c r="D547" s="164">
        <f>D546*D544</f>
        <v>47.25</v>
      </c>
      <c r="E547" s="164">
        <f>E544*E546</f>
        <v>47.25</v>
      </c>
      <c r="F547" s="164">
        <f>F544*F546</f>
        <v>47.25</v>
      </c>
      <c r="G547" s="164">
        <f>G544*G546</f>
        <v>47.25</v>
      </c>
      <c r="H547" s="165">
        <f>H544*H546</f>
        <v>47.25</v>
      </c>
    </row>
    <row r="548" spans="2:8" x14ac:dyDescent="0.2">
      <c r="B548" s="265"/>
      <c r="C548" s="168"/>
      <c r="D548" s="169"/>
      <c r="E548" s="169"/>
      <c r="F548" s="169"/>
      <c r="G548" s="169"/>
      <c r="H548" s="170"/>
    </row>
    <row r="549" spans="2:8" x14ac:dyDescent="0.2">
      <c r="B549" s="328" t="s">
        <v>131</v>
      </c>
      <c r="C549" s="154"/>
      <c r="D549" s="155">
        <f>C552</f>
        <v>750</v>
      </c>
      <c r="E549" s="155">
        <f>D552</f>
        <v>750</v>
      </c>
      <c r="F549" s="155">
        <f>E549</f>
        <v>750</v>
      </c>
      <c r="G549" s="155">
        <f>F549</f>
        <v>750</v>
      </c>
      <c r="H549" s="156">
        <f>G549</f>
        <v>750</v>
      </c>
    </row>
    <row r="550" spans="2:8" x14ac:dyDescent="0.2">
      <c r="B550" s="265"/>
      <c r="C550" s="154"/>
      <c r="D550" s="155"/>
      <c r="E550" s="157"/>
      <c r="F550" s="157"/>
      <c r="G550" s="157"/>
      <c r="H550" s="158"/>
    </row>
    <row r="551" spans="2:8" x14ac:dyDescent="0.2">
      <c r="B551" s="265" t="s">
        <v>78</v>
      </c>
      <c r="C551" s="154"/>
      <c r="D551" s="159">
        <f>0</f>
        <v>0</v>
      </c>
      <c r="E551" s="126">
        <v>0</v>
      </c>
      <c r="F551" s="159">
        <v>0</v>
      </c>
      <c r="G551" s="159">
        <v>0</v>
      </c>
      <c r="H551" s="160">
        <v>0</v>
      </c>
    </row>
    <row r="552" spans="2:8" x14ac:dyDescent="0.2">
      <c r="B552" s="265" t="s">
        <v>70</v>
      </c>
      <c r="C552" s="161">
        <v>750</v>
      </c>
      <c r="D552" s="159">
        <f>D549-D551</f>
        <v>750</v>
      </c>
      <c r="E552" s="159">
        <f>E549-E551</f>
        <v>750</v>
      </c>
      <c r="F552" s="159">
        <f>F549-F551</f>
        <v>750</v>
      </c>
      <c r="G552" s="159">
        <f>G549-G551</f>
        <v>750</v>
      </c>
      <c r="H552" s="160">
        <f>D549</f>
        <v>750</v>
      </c>
    </row>
    <row r="553" spans="2:8" x14ac:dyDescent="0.2">
      <c r="B553" s="265"/>
      <c r="C553" s="154"/>
      <c r="D553" s="154"/>
      <c r="E553" s="154"/>
      <c r="F553" s="154"/>
      <c r="G553" s="154"/>
      <c r="H553" s="162"/>
    </row>
    <row r="554" spans="2:8" x14ac:dyDescent="0.2">
      <c r="B554" s="265" t="s">
        <v>69</v>
      </c>
      <c r="C554" s="149">
        <v>5.5E-2</v>
      </c>
      <c r="D554" s="149">
        <v>5.5E-2</v>
      </c>
      <c r="E554" s="149">
        <v>5.5E-2</v>
      </c>
      <c r="F554" s="149">
        <v>5.5E-2</v>
      </c>
      <c r="G554" s="149">
        <v>5.5E-2</v>
      </c>
      <c r="H554" s="171">
        <v>5.5E-2</v>
      </c>
    </row>
    <row r="555" spans="2:8" x14ac:dyDescent="0.2">
      <c r="B555" s="265"/>
      <c r="D555" s="154"/>
      <c r="E555" s="154"/>
      <c r="F555" s="154"/>
      <c r="G555" s="154"/>
      <c r="H555" s="162"/>
    </row>
    <row r="556" spans="2:8" x14ac:dyDescent="0.2">
      <c r="B556" s="213" t="s">
        <v>79</v>
      </c>
      <c r="C556" s="154"/>
      <c r="D556" s="157">
        <f>AVERAGE(D552,C552)</f>
        <v>750</v>
      </c>
      <c r="E556" s="157">
        <f>AVERAGE(E552,D552)</f>
        <v>750</v>
      </c>
      <c r="F556" s="157">
        <f>AVERAGE(F552,E552)</f>
        <v>750</v>
      </c>
      <c r="G556" s="157">
        <f>AVERAGE(G552,F552)</f>
        <v>750</v>
      </c>
      <c r="H556" s="158">
        <f>AVERAGE(H552,G552)</f>
        <v>750</v>
      </c>
    </row>
    <row r="557" spans="2:8" x14ac:dyDescent="0.2">
      <c r="B557" s="264" t="s">
        <v>80</v>
      </c>
      <c r="C557" s="163"/>
      <c r="D557" s="164">
        <f>D556*D554</f>
        <v>41.25</v>
      </c>
      <c r="E557" s="164">
        <f>E554*E556</f>
        <v>41.25</v>
      </c>
      <c r="F557" s="164">
        <f>F554*F556</f>
        <v>41.25</v>
      </c>
      <c r="G557" s="164">
        <f>G554*G556</f>
        <v>41.25</v>
      </c>
      <c r="H557" s="165">
        <f>H554*H556</f>
        <v>41.25</v>
      </c>
    </row>
    <row r="558" spans="2:8" x14ac:dyDescent="0.2">
      <c r="B558" s="265"/>
      <c r="C558" s="168"/>
      <c r="D558" s="169"/>
      <c r="E558" s="169"/>
      <c r="F558" s="169"/>
      <c r="G558" s="169"/>
      <c r="H558" s="170"/>
    </row>
    <row r="559" spans="2:8" x14ac:dyDescent="0.2">
      <c r="B559" s="328" t="s">
        <v>132</v>
      </c>
      <c r="C559" s="154"/>
      <c r="D559" s="155">
        <f>C562</f>
        <v>1250</v>
      </c>
      <c r="E559" s="155">
        <f>D562</f>
        <v>1250</v>
      </c>
      <c r="F559" s="155">
        <f>E559</f>
        <v>1250</v>
      </c>
      <c r="G559" s="155">
        <f>F559</f>
        <v>1250</v>
      </c>
      <c r="H559" s="156">
        <f>G559</f>
        <v>1250</v>
      </c>
    </row>
    <row r="560" spans="2:8" x14ac:dyDescent="0.2">
      <c r="B560" s="265"/>
      <c r="C560" s="154"/>
      <c r="D560" s="155"/>
      <c r="E560" s="157"/>
      <c r="F560" s="157"/>
      <c r="G560" s="157"/>
      <c r="H560" s="158"/>
    </row>
    <row r="561" spans="2:8" x14ac:dyDescent="0.2">
      <c r="B561" s="265" t="s">
        <v>78</v>
      </c>
      <c r="C561" s="154"/>
      <c r="D561" s="159">
        <f>0</f>
        <v>0</v>
      </c>
      <c r="E561" s="126">
        <v>0</v>
      </c>
      <c r="F561" s="159">
        <v>0</v>
      </c>
      <c r="G561" s="159">
        <v>0</v>
      </c>
      <c r="H561" s="160">
        <v>0</v>
      </c>
    </row>
    <row r="562" spans="2:8" x14ac:dyDescent="0.2">
      <c r="B562" s="265" t="s">
        <v>70</v>
      </c>
      <c r="C562" s="161">
        <v>1250</v>
      </c>
      <c r="D562" s="159">
        <f>D559-D561</f>
        <v>1250</v>
      </c>
      <c r="E562" s="159">
        <f>E559-E561</f>
        <v>1250</v>
      </c>
      <c r="F562" s="159">
        <f>F559-F561</f>
        <v>1250</v>
      </c>
      <c r="G562" s="159">
        <f>G559-G561</f>
        <v>1250</v>
      </c>
      <c r="H562" s="160">
        <f>D559</f>
        <v>1250</v>
      </c>
    </row>
    <row r="563" spans="2:8" x14ac:dyDescent="0.2">
      <c r="B563" s="265"/>
      <c r="C563" s="154"/>
      <c r="D563" s="154"/>
      <c r="E563" s="154"/>
      <c r="F563" s="154"/>
      <c r="G563" s="154"/>
      <c r="H563" s="162"/>
    </row>
    <row r="564" spans="2:8" x14ac:dyDescent="0.2">
      <c r="B564" s="265" t="s">
        <v>69</v>
      </c>
      <c r="C564" s="149">
        <v>5.8749999999999997E-2</v>
      </c>
      <c r="D564" s="149">
        <v>5.8749999999999997E-2</v>
      </c>
      <c r="E564" s="149">
        <v>5.8749999999999997E-2</v>
      </c>
      <c r="F564" s="149">
        <v>5.8749999999999997E-2</v>
      </c>
      <c r="G564" s="149">
        <v>5.8749999999999997E-2</v>
      </c>
      <c r="H564" s="171">
        <v>5.8749999999999997E-2</v>
      </c>
    </row>
    <row r="565" spans="2:8" x14ac:dyDescent="0.2">
      <c r="B565" s="265"/>
      <c r="D565" s="154"/>
      <c r="E565" s="154"/>
      <c r="F565" s="154"/>
      <c r="G565" s="154"/>
      <c r="H565" s="162"/>
    </row>
    <row r="566" spans="2:8" x14ac:dyDescent="0.2">
      <c r="B566" s="213" t="s">
        <v>79</v>
      </c>
      <c r="C566" s="154"/>
      <c r="D566" s="157">
        <f>AVERAGE(D562,C562)</f>
        <v>1250</v>
      </c>
      <c r="E566" s="157">
        <f>AVERAGE(E562,D562)</f>
        <v>1250</v>
      </c>
      <c r="F566" s="157">
        <f>AVERAGE(F562,E562)</f>
        <v>1250</v>
      </c>
      <c r="G566" s="157">
        <f>AVERAGE(G562,F562)</f>
        <v>1250</v>
      </c>
      <c r="H566" s="158">
        <f>AVERAGE(H562,G562)</f>
        <v>1250</v>
      </c>
    </row>
    <row r="567" spans="2:8" x14ac:dyDescent="0.2">
      <c r="B567" s="264" t="s">
        <v>80</v>
      </c>
      <c r="C567" s="163"/>
      <c r="D567" s="164">
        <f>D566*D564</f>
        <v>73.4375</v>
      </c>
      <c r="E567" s="164">
        <f>E564*E566</f>
        <v>73.4375</v>
      </c>
      <c r="F567" s="164">
        <f>F564*F566</f>
        <v>73.4375</v>
      </c>
      <c r="G567" s="164">
        <f>G564*G566</f>
        <v>73.4375</v>
      </c>
      <c r="H567" s="165">
        <f>H564*H566</f>
        <v>73.4375</v>
      </c>
    </row>
    <row r="568" spans="2:8" x14ac:dyDescent="0.2">
      <c r="B568" s="265"/>
      <c r="C568" s="168"/>
      <c r="D568" s="169"/>
      <c r="E568" s="169"/>
      <c r="F568" s="169"/>
      <c r="G568" s="169"/>
      <c r="H568" s="170"/>
    </row>
    <row r="569" spans="2:8" x14ac:dyDescent="0.2">
      <c r="B569" s="328" t="s">
        <v>133</v>
      </c>
      <c r="C569" s="154"/>
      <c r="D569" s="155">
        <f>C572</f>
        <v>1000</v>
      </c>
      <c r="E569" s="155">
        <f>D572</f>
        <v>1000</v>
      </c>
      <c r="F569" s="155">
        <f>E569</f>
        <v>1000</v>
      </c>
      <c r="G569" s="155">
        <f>F569</f>
        <v>1000</v>
      </c>
      <c r="H569" s="156">
        <f>G569</f>
        <v>1000</v>
      </c>
    </row>
    <row r="570" spans="2:8" x14ac:dyDescent="0.2">
      <c r="B570" s="265"/>
      <c r="C570" s="154"/>
      <c r="D570" s="155"/>
      <c r="E570" s="157"/>
      <c r="F570" s="157"/>
      <c r="G570" s="157"/>
      <c r="H570" s="158"/>
    </row>
    <row r="571" spans="2:8" x14ac:dyDescent="0.2">
      <c r="B571" s="265" t="s">
        <v>78</v>
      </c>
      <c r="C571" s="154"/>
      <c r="D571" s="159">
        <f>0</f>
        <v>0</v>
      </c>
      <c r="E571" s="126">
        <v>0</v>
      </c>
      <c r="F571" s="159">
        <v>0</v>
      </c>
      <c r="G571" s="159">
        <v>0</v>
      </c>
      <c r="H571" s="160">
        <v>0</v>
      </c>
    </row>
    <row r="572" spans="2:8" x14ac:dyDescent="0.2">
      <c r="B572" s="265" t="s">
        <v>70</v>
      </c>
      <c r="C572" s="161">
        <v>1000</v>
      </c>
      <c r="D572" s="159">
        <f>D569-D571</f>
        <v>1000</v>
      </c>
      <c r="E572" s="159">
        <f>E569-E571</f>
        <v>1000</v>
      </c>
      <c r="F572" s="159">
        <f>F569-F571</f>
        <v>1000</v>
      </c>
      <c r="G572" s="159">
        <f>G569-G571</f>
        <v>1000</v>
      </c>
      <c r="H572" s="160">
        <f>D569</f>
        <v>1000</v>
      </c>
    </row>
    <row r="573" spans="2:8" x14ac:dyDescent="0.2">
      <c r="B573" s="265"/>
      <c r="C573" s="154"/>
      <c r="D573" s="154"/>
      <c r="E573" s="154"/>
      <c r="F573" s="154"/>
      <c r="G573" s="154"/>
      <c r="H573" s="162"/>
    </row>
    <row r="574" spans="2:8" x14ac:dyDescent="0.2">
      <c r="B574" s="265" t="s">
        <v>69</v>
      </c>
      <c r="C574" s="149">
        <v>5.7000000000000002E-2</v>
      </c>
      <c r="D574" s="149">
        <v>5.7000000000000002E-2</v>
      </c>
      <c r="E574" s="149">
        <v>5.7000000000000002E-2</v>
      </c>
      <c r="F574" s="149">
        <v>5.7000000000000002E-2</v>
      </c>
      <c r="G574" s="149">
        <v>5.7000000000000002E-2</v>
      </c>
      <c r="H574" s="171">
        <v>5.7000000000000002E-2</v>
      </c>
    </row>
    <row r="575" spans="2:8" x14ac:dyDescent="0.2">
      <c r="B575" s="265"/>
      <c r="D575" s="154"/>
      <c r="E575" s="154"/>
      <c r="F575" s="154"/>
      <c r="G575" s="154"/>
      <c r="H575" s="162"/>
    </row>
    <row r="576" spans="2:8" x14ac:dyDescent="0.2">
      <c r="B576" s="213" t="s">
        <v>79</v>
      </c>
      <c r="C576" s="154"/>
      <c r="D576" s="157">
        <f>AVERAGE(D572,C572)</f>
        <v>1000</v>
      </c>
      <c r="E576" s="157">
        <f>AVERAGE(E572,D572)</f>
        <v>1000</v>
      </c>
      <c r="F576" s="157">
        <f>AVERAGE(F572,E572)</f>
        <v>1000</v>
      </c>
      <c r="G576" s="157">
        <f>AVERAGE(G572,F572)</f>
        <v>1000</v>
      </c>
      <c r="H576" s="158">
        <f>AVERAGE(H572,G572)</f>
        <v>1000</v>
      </c>
    </row>
    <row r="577" spans="2:8" x14ac:dyDescent="0.2">
      <c r="B577" s="264" t="s">
        <v>80</v>
      </c>
      <c r="C577" s="163"/>
      <c r="D577" s="164">
        <f>D576*D574</f>
        <v>57</v>
      </c>
      <c r="E577" s="164">
        <f>E574*E576</f>
        <v>57</v>
      </c>
      <c r="F577" s="164">
        <f>F574*F576</f>
        <v>57</v>
      </c>
      <c r="G577" s="164">
        <f>G574*G576</f>
        <v>57</v>
      </c>
      <c r="H577" s="165">
        <f>H574*H576</f>
        <v>57</v>
      </c>
    </row>
    <row r="578" spans="2:8" x14ac:dyDescent="0.2">
      <c r="B578" s="265"/>
      <c r="C578" s="168"/>
      <c r="D578" s="169"/>
      <c r="E578" s="169"/>
      <c r="F578" s="169"/>
      <c r="G578" s="169"/>
      <c r="H578" s="170"/>
    </row>
    <row r="579" spans="2:8" x14ac:dyDescent="0.2">
      <c r="B579" s="328" t="s">
        <v>134</v>
      </c>
      <c r="C579" s="154"/>
      <c r="D579" s="155">
        <f>C582</f>
        <v>1700</v>
      </c>
      <c r="E579" s="155">
        <f>D582</f>
        <v>1700</v>
      </c>
      <c r="F579" s="155">
        <f>E579</f>
        <v>1700</v>
      </c>
      <c r="G579" s="155">
        <f>F579</f>
        <v>1700</v>
      </c>
      <c r="H579" s="156">
        <f>G579</f>
        <v>1700</v>
      </c>
    </row>
    <row r="580" spans="2:8" x14ac:dyDescent="0.2">
      <c r="B580" s="265"/>
      <c r="C580" s="154"/>
      <c r="D580" s="155"/>
      <c r="E580" s="157"/>
      <c r="F580" s="157"/>
      <c r="G580" s="157"/>
      <c r="H580" s="158"/>
    </row>
    <row r="581" spans="2:8" x14ac:dyDescent="0.2">
      <c r="B581" s="265" t="s">
        <v>78</v>
      </c>
      <c r="C581" s="154"/>
      <c r="D581" s="159">
        <f>0</f>
        <v>0</v>
      </c>
      <c r="E581" s="126">
        <v>0</v>
      </c>
      <c r="F581" s="159">
        <v>0</v>
      </c>
      <c r="G581" s="159">
        <v>0</v>
      </c>
      <c r="H581" s="160">
        <v>0</v>
      </c>
    </row>
    <row r="582" spans="2:8" x14ac:dyDescent="0.2">
      <c r="B582" s="265" t="s">
        <v>70</v>
      </c>
      <c r="C582" s="161">
        <v>1700</v>
      </c>
      <c r="D582" s="159">
        <f>D579-D581</f>
        <v>1700</v>
      </c>
      <c r="E582" s="159">
        <f>E579-E581</f>
        <v>1700</v>
      </c>
      <c r="F582" s="159">
        <f>F579-F581</f>
        <v>1700</v>
      </c>
      <c r="G582" s="159">
        <f>G579-G581</f>
        <v>1700</v>
      </c>
      <c r="H582" s="160">
        <f>D579</f>
        <v>1700</v>
      </c>
    </row>
    <row r="583" spans="2:8" x14ac:dyDescent="0.2">
      <c r="B583" s="265"/>
      <c r="C583" s="154"/>
      <c r="D583" s="154"/>
      <c r="E583" s="154"/>
      <c r="F583" s="154"/>
      <c r="G583" s="154"/>
      <c r="H583" s="162"/>
    </row>
    <row r="584" spans="2:8" x14ac:dyDescent="0.2">
      <c r="B584" s="265" t="s">
        <v>69</v>
      </c>
      <c r="C584" s="149">
        <v>3.5999999999999997E-2</v>
      </c>
      <c r="D584" s="149">
        <v>3.5999999999999997E-2</v>
      </c>
      <c r="E584" s="149">
        <v>3.5999999999999997E-2</v>
      </c>
      <c r="F584" s="149">
        <v>3.5999999999999997E-2</v>
      </c>
      <c r="G584" s="149">
        <v>3.5999999999999997E-2</v>
      </c>
      <c r="H584" s="171">
        <v>3.5999999999999997E-2</v>
      </c>
    </row>
    <row r="585" spans="2:8" x14ac:dyDescent="0.2">
      <c r="B585" s="265"/>
      <c r="D585" s="154"/>
      <c r="E585" s="154"/>
      <c r="F585" s="154"/>
      <c r="G585" s="154"/>
      <c r="H585" s="162"/>
    </row>
    <row r="586" spans="2:8" x14ac:dyDescent="0.2">
      <c r="B586" s="213" t="s">
        <v>79</v>
      </c>
      <c r="C586" s="154"/>
      <c r="D586" s="157">
        <f>AVERAGE(D582,C582)</f>
        <v>1700</v>
      </c>
      <c r="E586" s="157">
        <f>AVERAGE(E582,D582)</f>
        <v>1700</v>
      </c>
      <c r="F586" s="157">
        <f>AVERAGE(F582,E582)</f>
        <v>1700</v>
      </c>
      <c r="G586" s="157">
        <f>AVERAGE(G582,F582)</f>
        <v>1700</v>
      </c>
      <c r="H586" s="158">
        <f>AVERAGE(H582,G582)</f>
        <v>1700</v>
      </c>
    </row>
    <row r="587" spans="2:8" x14ac:dyDescent="0.2">
      <c r="B587" s="264" t="s">
        <v>80</v>
      </c>
      <c r="C587" s="163"/>
      <c r="D587" s="164">
        <f>D586*D584</f>
        <v>61.199999999999996</v>
      </c>
      <c r="E587" s="164">
        <f>E584*E586</f>
        <v>61.199999999999996</v>
      </c>
      <c r="F587" s="164">
        <f>F584*F586</f>
        <v>61.199999999999996</v>
      </c>
      <c r="G587" s="164">
        <f>G584*G586</f>
        <v>61.199999999999996</v>
      </c>
      <c r="H587" s="165">
        <f>H584*H586</f>
        <v>61.199999999999996</v>
      </c>
    </row>
    <row r="588" spans="2:8" x14ac:dyDescent="0.2">
      <c r="B588" s="265"/>
      <c r="C588" s="168"/>
      <c r="D588" s="169"/>
      <c r="E588" s="169"/>
      <c r="F588" s="169"/>
      <c r="G588" s="169"/>
      <c r="H588" s="170"/>
    </row>
    <row r="589" spans="2:8" x14ac:dyDescent="0.2">
      <c r="B589" s="328" t="s">
        <v>135</v>
      </c>
      <c r="C589" s="154"/>
      <c r="D589" s="155">
        <f>C592</f>
        <v>750</v>
      </c>
      <c r="E589" s="155">
        <f>D592</f>
        <v>750</v>
      </c>
      <c r="F589" s="155">
        <f>E589</f>
        <v>750</v>
      </c>
      <c r="G589" s="155">
        <f>F589</f>
        <v>750</v>
      </c>
      <c r="H589" s="156">
        <f>G589</f>
        <v>750</v>
      </c>
    </row>
    <row r="590" spans="2:8" x14ac:dyDescent="0.2">
      <c r="B590" s="265"/>
      <c r="C590" s="154"/>
      <c r="D590" s="155"/>
      <c r="E590" s="157"/>
      <c r="F590" s="157"/>
      <c r="G590" s="157"/>
      <c r="H590" s="158"/>
    </row>
    <row r="591" spans="2:8" x14ac:dyDescent="0.2">
      <c r="B591" s="265" t="s">
        <v>78</v>
      </c>
      <c r="C591" s="154"/>
      <c r="D591" s="159">
        <f>0</f>
        <v>0</v>
      </c>
      <c r="E591" s="126">
        <v>0</v>
      </c>
      <c r="F591" s="159">
        <v>0</v>
      </c>
      <c r="G591" s="159">
        <v>0</v>
      </c>
      <c r="H591" s="160">
        <v>0</v>
      </c>
    </row>
    <row r="592" spans="2:8" x14ac:dyDescent="0.2">
      <c r="B592" s="265" t="s">
        <v>70</v>
      </c>
      <c r="C592" s="161">
        <v>750</v>
      </c>
      <c r="D592" s="159">
        <f>D589-D591</f>
        <v>750</v>
      </c>
      <c r="E592" s="159">
        <f>E589-E591</f>
        <v>750</v>
      </c>
      <c r="F592" s="159">
        <f>F589-F591</f>
        <v>750</v>
      </c>
      <c r="G592" s="159">
        <f>G589-G591</f>
        <v>750</v>
      </c>
      <c r="H592" s="160">
        <f>D589</f>
        <v>750</v>
      </c>
    </row>
    <row r="593" spans="2:8" x14ac:dyDescent="0.2">
      <c r="B593" s="265"/>
      <c r="C593" s="154"/>
      <c r="D593" s="154"/>
      <c r="E593" s="154"/>
      <c r="F593" s="154"/>
      <c r="G593" s="154"/>
      <c r="H593" s="162"/>
    </row>
    <row r="594" spans="2:8" x14ac:dyDescent="0.2">
      <c r="B594" s="265" t="s">
        <v>69</v>
      </c>
      <c r="C594" s="149">
        <v>5.8000000000000003E-2</v>
      </c>
      <c r="D594" s="149">
        <v>5.8000000000000003E-2</v>
      </c>
      <c r="E594" s="149">
        <v>5.8000000000000003E-2</v>
      </c>
      <c r="F594" s="149">
        <v>5.8000000000000003E-2</v>
      </c>
      <c r="G594" s="149">
        <v>5.8000000000000003E-2</v>
      </c>
      <c r="H594" s="171">
        <v>5.8000000000000003E-2</v>
      </c>
    </row>
    <row r="595" spans="2:8" x14ac:dyDescent="0.2">
      <c r="B595" s="265"/>
      <c r="D595" s="154"/>
      <c r="E595" s="154"/>
      <c r="F595" s="154"/>
      <c r="G595" s="154"/>
      <c r="H595" s="162"/>
    </row>
    <row r="596" spans="2:8" x14ac:dyDescent="0.2">
      <c r="B596" s="213" t="s">
        <v>79</v>
      </c>
      <c r="C596" s="154"/>
      <c r="D596" s="157">
        <f>AVERAGE(D592,C592)</f>
        <v>750</v>
      </c>
      <c r="E596" s="157">
        <f>AVERAGE(E592,D592)</f>
        <v>750</v>
      </c>
      <c r="F596" s="157">
        <f>AVERAGE(F592,E592)</f>
        <v>750</v>
      </c>
      <c r="G596" s="157">
        <f>AVERAGE(G592,F592)</f>
        <v>750</v>
      </c>
      <c r="H596" s="158">
        <f>AVERAGE(H592,G592)</f>
        <v>750</v>
      </c>
    </row>
    <row r="597" spans="2:8" x14ac:dyDescent="0.2">
      <c r="B597" s="264" t="s">
        <v>80</v>
      </c>
      <c r="C597" s="163"/>
      <c r="D597" s="164">
        <f>D596*D594</f>
        <v>43.5</v>
      </c>
      <c r="E597" s="164">
        <f>E594*E596</f>
        <v>43.5</v>
      </c>
      <c r="F597" s="164">
        <f>F594*F596</f>
        <v>43.5</v>
      </c>
      <c r="G597" s="164">
        <f>G594*G596</f>
        <v>43.5</v>
      </c>
      <c r="H597" s="165">
        <f>H594*H596</f>
        <v>43.5</v>
      </c>
    </row>
    <row r="598" spans="2:8" x14ac:dyDescent="0.2">
      <c r="B598" s="265"/>
      <c r="C598" s="168"/>
      <c r="D598" s="169"/>
      <c r="E598" s="169"/>
      <c r="F598" s="169"/>
      <c r="G598" s="169"/>
      <c r="H598" s="170"/>
    </row>
    <row r="599" spans="2:8" x14ac:dyDescent="0.2">
      <c r="B599" s="328" t="s">
        <v>136</v>
      </c>
      <c r="C599" s="154"/>
      <c r="D599" s="155">
        <f>C602</f>
        <v>393</v>
      </c>
      <c r="E599" s="155">
        <f>D602</f>
        <v>393</v>
      </c>
      <c r="F599" s="155">
        <f>E599</f>
        <v>393</v>
      </c>
      <c r="G599" s="155">
        <f>F599</f>
        <v>393</v>
      </c>
      <c r="H599" s="156">
        <f>G599</f>
        <v>393</v>
      </c>
    </row>
    <row r="600" spans="2:8" x14ac:dyDescent="0.2">
      <c r="B600" s="265"/>
      <c r="C600" s="154"/>
      <c r="D600" s="155"/>
      <c r="E600" s="157"/>
      <c r="F600" s="157"/>
      <c r="G600" s="157"/>
      <c r="H600" s="158"/>
    </row>
    <row r="601" spans="2:8" x14ac:dyDescent="0.2">
      <c r="B601" s="265" t="s">
        <v>78</v>
      </c>
      <c r="C601" s="154"/>
      <c r="D601" s="159">
        <f>0</f>
        <v>0</v>
      </c>
      <c r="E601" s="126">
        <v>0</v>
      </c>
      <c r="F601" s="159">
        <v>0</v>
      </c>
      <c r="G601" s="159">
        <v>0</v>
      </c>
      <c r="H601" s="160">
        <v>0</v>
      </c>
    </row>
    <row r="602" spans="2:8" x14ac:dyDescent="0.2">
      <c r="B602" s="265" t="s">
        <v>70</v>
      </c>
      <c r="C602" s="161">
        <v>393</v>
      </c>
      <c r="D602" s="159">
        <f>D599-D601</f>
        <v>393</v>
      </c>
      <c r="E602" s="159">
        <f>E599-E601</f>
        <v>393</v>
      </c>
      <c r="F602" s="159">
        <f>F599-F601</f>
        <v>393</v>
      </c>
      <c r="G602" s="159">
        <f>G599-G601</f>
        <v>393</v>
      </c>
      <c r="H602" s="160">
        <f>D599</f>
        <v>393</v>
      </c>
    </row>
    <row r="603" spans="2:8" x14ac:dyDescent="0.2">
      <c r="B603" s="265"/>
      <c r="C603" s="154"/>
      <c r="D603" s="154"/>
      <c r="E603" s="154"/>
      <c r="F603" s="154"/>
      <c r="G603" s="154"/>
      <c r="H603" s="162"/>
    </row>
    <row r="604" spans="2:8" x14ac:dyDescent="0.2">
      <c r="B604" s="265" t="s">
        <v>69</v>
      </c>
      <c r="C604" s="149">
        <v>5.8000000000000003E-2</v>
      </c>
      <c r="D604" s="149">
        <v>5.8000000000000003E-2</v>
      </c>
      <c r="E604" s="149">
        <v>5.8000000000000003E-2</v>
      </c>
      <c r="F604" s="149">
        <v>5.8000000000000003E-2</v>
      </c>
      <c r="G604" s="149">
        <v>5.8000000000000003E-2</v>
      </c>
      <c r="H604" s="171">
        <v>5.8000000000000003E-2</v>
      </c>
    </row>
    <row r="605" spans="2:8" x14ac:dyDescent="0.2">
      <c r="B605" s="265"/>
      <c r="D605" s="154"/>
      <c r="E605" s="154"/>
      <c r="F605" s="154"/>
      <c r="G605" s="154"/>
      <c r="H605" s="162"/>
    </row>
    <row r="606" spans="2:8" x14ac:dyDescent="0.2">
      <c r="B606" s="213" t="s">
        <v>79</v>
      </c>
      <c r="C606" s="154"/>
      <c r="D606" s="157">
        <f>AVERAGE(D602,C602)</f>
        <v>393</v>
      </c>
      <c r="E606" s="157">
        <f>AVERAGE(E602,D602)</f>
        <v>393</v>
      </c>
      <c r="F606" s="157">
        <f>AVERAGE(F602,E602)</f>
        <v>393</v>
      </c>
      <c r="G606" s="157">
        <f>AVERAGE(G602,F602)</f>
        <v>393</v>
      </c>
      <c r="H606" s="158">
        <f>AVERAGE(H602,G602)</f>
        <v>393</v>
      </c>
    </row>
    <row r="607" spans="2:8" x14ac:dyDescent="0.2">
      <c r="B607" s="264" t="s">
        <v>80</v>
      </c>
      <c r="C607" s="163"/>
      <c r="D607" s="164">
        <f>D606*D604</f>
        <v>22.794</v>
      </c>
      <c r="E607" s="164">
        <f>E604*E606</f>
        <v>22.794</v>
      </c>
      <c r="F607" s="164">
        <f>F604*F606</f>
        <v>22.794</v>
      </c>
      <c r="G607" s="164">
        <f>G604*G606</f>
        <v>22.794</v>
      </c>
      <c r="H607" s="165">
        <f>H604*H606</f>
        <v>22.794</v>
      </c>
    </row>
    <row r="608" spans="2:8" x14ac:dyDescent="0.2">
      <c r="B608" s="265"/>
      <c r="C608" s="168"/>
      <c r="D608" s="169"/>
      <c r="E608" s="169"/>
      <c r="F608" s="169"/>
      <c r="G608" s="169"/>
      <c r="H608" s="170"/>
    </row>
    <row r="609" spans="2:8" x14ac:dyDescent="0.2">
      <c r="B609" s="328" t="s">
        <v>137</v>
      </c>
      <c r="C609" s="154"/>
      <c r="D609" s="155">
        <f>C612</f>
        <v>401</v>
      </c>
      <c r="E609" s="155">
        <f>D612</f>
        <v>401</v>
      </c>
      <c r="F609" s="155">
        <f>E609</f>
        <v>401</v>
      </c>
      <c r="G609" s="155">
        <f>F609</f>
        <v>401</v>
      </c>
      <c r="H609" s="156">
        <f>G609</f>
        <v>401</v>
      </c>
    </row>
    <row r="610" spans="2:8" x14ac:dyDescent="0.2">
      <c r="B610" s="265"/>
      <c r="C610" s="154"/>
      <c r="D610" s="155"/>
      <c r="E610" s="157"/>
      <c r="F610" s="157"/>
      <c r="G610" s="157"/>
      <c r="H610" s="158"/>
    </row>
    <row r="611" spans="2:8" x14ac:dyDescent="0.2">
      <c r="B611" s="265" t="s">
        <v>78</v>
      </c>
      <c r="C611" s="154"/>
      <c r="D611" s="159">
        <f>0</f>
        <v>0</v>
      </c>
      <c r="E611" s="126">
        <v>0</v>
      </c>
      <c r="F611" s="159">
        <v>0</v>
      </c>
      <c r="G611" s="159">
        <v>0</v>
      </c>
      <c r="H611" s="160">
        <v>0</v>
      </c>
    </row>
    <row r="612" spans="2:8" x14ac:dyDescent="0.2">
      <c r="B612" s="265" t="s">
        <v>70</v>
      </c>
      <c r="C612" s="161">
        <v>401</v>
      </c>
      <c r="D612" s="159">
        <f>D609-D611</f>
        <v>401</v>
      </c>
      <c r="E612" s="159">
        <f>E609-E611</f>
        <v>401</v>
      </c>
      <c r="F612" s="159">
        <f>F609-F611</f>
        <v>401</v>
      </c>
      <c r="G612" s="159">
        <f>G609-G611</f>
        <v>401</v>
      </c>
      <c r="H612" s="160">
        <f>D609</f>
        <v>401</v>
      </c>
    </row>
    <row r="613" spans="2:8" x14ac:dyDescent="0.2">
      <c r="B613" s="265"/>
      <c r="C613" s="154"/>
      <c r="D613" s="154"/>
      <c r="E613" s="154"/>
      <c r="F613" s="154"/>
      <c r="G613" s="154"/>
      <c r="H613" s="162"/>
    </row>
    <row r="614" spans="2:8" x14ac:dyDescent="0.2">
      <c r="B614" s="265" t="s">
        <v>69</v>
      </c>
      <c r="C614" s="149">
        <v>5.5E-2</v>
      </c>
      <c r="D614" s="149">
        <v>5.5E-2</v>
      </c>
      <c r="E614" s="149">
        <v>5.5E-2</v>
      </c>
      <c r="F614" s="149">
        <v>5.5E-2</v>
      </c>
      <c r="G614" s="149">
        <v>5.5E-2</v>
      </c>
      <c r="H614" s="171">
        <v>5.5E-2</v>
      </c>
    </row>
    <row r="615" spans="2:8" x14ac:dyDescent="0.2">
      <c r="B615" s="265"/>
      <c r="D615" s="154"/>
      <c r="E615" s="154"/>
      <c r="F615" s="154"/>
      <c r="G615" s="154"/>
      <c r="H615" s="162"/>
    </row>
    <row r="616" spans="2:8" x14ac:dyDescent="0.2">
      <c r="B616" s="213" t="s">
        <v>79</v>
      </c>
      <c r="C616" s="154"/>
      <c r="D616" s="157">
        <f>AVERAGE(D612,C612)</f>
        <v>401</v>
      </c>
      <c r="E616" s="157">
        <f>AVERAGE(E612,D612)</f>
        <v>401</v>
      </c>
      <c r="F616" s="157">
        <f>AVERAGE(F612,E612)</f>
        <v>401</v>
      </c>
      <c r="G616" s="157">
        <f>AVERAGE(G612,F612)</f>
        <v>401</v>
      </c>
      <c r="H616" s="158">
        <f>AVERAGE(H612,G612)</f>
        <v>401</v>
      </c>
    </row>
    <row r="617" spans="2:8" x14ac:dyDescent="0.2">
      <c r="B617" s="264" t="s">
        <v>80</v>
      </c>
      <c r="C617" s="163"/>
      <c r="D617" s="164">
        <f>D616*D614</f>
        <v>22.055</v>
      </c>
      <c r="E617" s="164">
        <f>E614*E616</f>
        <v>22.055</v>
      </c>
      <c r="F617" s="164">
        <f>F614*F616</f>
        <v>22.055</v>
      </c>
      <c r="G617" s="164">
        <f>G614*G616</f>
        <v>22.055</v>
      </c>
      <c r="H617" s="165">
        <f>H614*H616</f>
        <v>22.055</v>
      </c>
    </row>
    <row r="618" spans="2:8" x14ac:dyDescent="0.2">
      <c r="B618" s="265"/>
      <c r="C618" s="168"/>
      <c r="D618" s="169"/>
      <c r="E618" s="169"/>
      <c r="F618" s="169"/>
      <c r="G618" s="169"/>
      <c r="H618" s="170"/>
    </row>
    <row r="619" spans="2:8" x14ac:dyDescent="0.2">
      <c r="B619" s="328" t="s">
        <v>138</v>
      </c>
      <c r="C619" s="154"/>
      <c r="D619" s="155">
        <f>C622</f>
        <v>395</v>
      </c>
      <c r="E619" s="155">
        <f>D622</f>
        <v>395</v>
      </c>
      <c r="F619" s="155">
        <f>E619</f>
        <v>395</v>
      </c>
      <c r="G619" s="155">
        <f>F619</f>
        <v>395</v>
      </c>
      <c r="H619" s="156">
        <f>G619</f>
        <v>395</v>
      </c>
    </row>
    <row r="620" spans="2:8" x14ac:dyDescent="0.2">
      <c r="B620" s="265"/>
      <c r="C620" s="154"/>
      <c r="D620" s="155"/>
      <c r="E620" s="157"/>
      <c r="F620" s="157"/>
      <c r="G620" s="157"/>
      <c r="H620" s="158"/>
    </row>
    <row r="621" spans="2:8" x14ac:dyDescent="0.2">
      <c r="B621" s="265" t="s">
        <v>78</v>
      </c>
      <c r="C621" s="154"/>
      <c r="D621" s="159">
        <f>0</f>
        <v>0</v>
      </c>
      <c r="E621" s="126">
        <v>0</v>
      </c>
      <c r="F621" s="159">
        <v>0</v>
      </c>
      <c r="G621" s="159">
        <v>0</v>
      </c>
      <c r="H621" s="160">
        <v>0</v>
      </c>
    </row>
    <row r="622" spans="2:8" x14ac:dyDescent="0.2">
      <c r="B622" s="265" t="s">
        <v>70</v>
      </c>
      <c r="C622" s="161">
        <v>395</v>
      </c>
      <c r="D622" s="159">
        <f>D619-D621</f>
        <v>395</v>
      </c>
      <c r="E622" s="159">
        <f>E619-E621</f>
        <v>395</v>
      </c>
      <c r="F622" s="159">
        <f>F619-F621</f>
        <v>395</v>
      </c>
      <c r="G622" s="159">
        <f>G619-G621</f>
        <v>395</v>
      </c>
      <c r="H622" s="160">
        <f>D619</f>
        <v>395</v>
      </c>
    </row>
    <row r="623" spans="2:8" x14ac:dyDescent="0.2">
      <c r="B623" s="265"/>
      <c r="C623" s="154"/>
      <c r="D623" s="154"/>
      <c r="E623" s="154"/>
      <c r="F623" s="154"/>
      <c r="G623" s="154"/>
      <c r="H623" s="162"/>
    </row>
    <row r="624" spans="2:8" x14ac:dyDescent="0.2">
      <c r="B624" s="265" t="s">
        <v>69</v>
      </c>
      <c r="C624" s="149">
        <v>5.5E-2</v>
      </c>
      <c r="D624" s="149">
        <v>5.5E-2</v>
      </c>
      <c r="E624" s="149">
        <v>5.5E-2</v>
      </c>
      <c r="F624" s="149">
        <v>5.5E-2</v>
      </c>
      <c r="G624" s="149">
        <v>5.5E-2</v>
      </c>
      <c r="H624" s="171">
        <v>5.5E-2</v>
      </c>
    </row>
    <row r="625" spans="1:8" x14ac:dyDescent="0.2">
      <c r="B625" s="265"/>
      <c r="D625" s="154"/>
      <c r="E625" s="154"/>
      <c r="F625" s="154"/>
      <c r="G625" s="154"/>
      <c r="H625" s="162"/>
    </row>
    <row r="626" spans="1:8" x14ac:dyDescent="0.2">
      <c r="B626" s="213" t="s">
        <v>79</v>
      </c>
      <c r="C626" s="154"/>
      <c r="D626" s="157">
        <f>AVERAGE(D622,C622)</f>
        <v>395</v>
      </c>
      <c r="E626" s="157">
        <f>AVERAGE(E622,D622)</f>
        <v>395</v>
      </c>
      <c r="F626" s="157">
        <f>AVERAGE(F622,E622)</f>
        <v>395</v>
      </c>
      <c r="G626" s="157">
        <f>AVERAGE(G622,F622)</f>
        <v>395</v>
      </c>
      <c r="H626" s="158">
        <f>AVERAGE(H622,G622)</f>
        <v>395</v>
      </c>
    </row>
    <row r="627" spans="1:8" x14ac:dyDescent="0.2">
      <c r="B627" s="264" t="s">
        <v>80</v>
      </c>
      <c r="C627" s="163"/>
      <c r="D627" s="164">
        <f>D626*D624</f>
        <v>21.725000000000001</v>
      </c>
      <c r="E627" s="164">
        <f>E624*E626</f>
        <v>21.725000000000001</v>
      </c>
      <c r="F627" s="164">
        <f>F624*F626</f>
        <v>21.725000000000001</v>
      </c>
      <c r="G627" s="164">
        <f>G624*G626</f>
        <v>21.725000000000001</v>
      </c>
      <c r="H627" s="165">
        <f>H624*H626</f>
        <v>21.725000000000001</v>
      </c>
    </row>
    <row r="628" spans="1:8" x14ac:dyDescent="0.2">
      <c r="B628" s="267" t="s">
        <v>139</v>
      </c>
      <c r="C628" s="167"/>
      <c r="D628" s="167"/>
      <c r="E628" s="167"/>
      <c r="F628" s="167"/>
      <c r="G628" s="167"/>
      <c r="H628" s="201"/>
    </row>
    <row r="629" spans="1:8" x14ac:dyDescent="0.2">
      <c r="B629" s="213" t="s">
        <v>140</v>
      </c>
      <c r="C629" s="146"/>
      <c r="D629" s="159">
        <f>D10+D17+D24</f>
        <v>2000</v>
      </c>
      <c r="E629" s="159">
        <f>E10</f>
        <v>0</v>
      </c>
      <c r="F629" s="159">
        <f>F10</f>
        <v>0</v>
      </c>
      <c r="G629" s="159">
        <f>G10</f>
        <v>0</v>
      </c>
      <c r="H629" s="160">
        <f>H10</f>
        <v>0</v>
      </c>
    </row>
    <row r="630" spans="1:8" x14ac:dyDescent="0.2">
      <c r="B630" s="213" t="s">
        <v>141</v>
      </c>
      <c r="C630" s="154"/>
      <c r="D630" s="211">
        <f>SUM(D32,D42,D52,D62,D72,D82,D92,D102,D112,D122,D132,D142,D152,D162,D172,D182,D192,D202,D212,D222,D232,D242,D252,D262,D272,D282,D292,D302,D312,D322,D332,D342,D352,D362,D372,D382,D392,D402,D412,D422,D432,D442,D452,D462,D472,D482,D492,D502,D512,D522,D532,D542,D552,D562,D572,D582,D592,D602,D612,D622)</f>
        <v>83281</v>
      </c>
      <c r="E630" s="211">
        <f>SUM(E32,E42,E52,E62,E72,E82,E92,E102,E112,E122,E132,E142,E152,E162,E172,E182,E192,E202,E212,E222,E232,E242,E252,E262,E272,E282,E292,E302,E312,E322,E332,E342,E352,E362,E372,E382,E392,E402,E412,E422,E432,E442,E452,E462,E472,E482,E492,E502,E512,E522,E532,E542,E552,E562,E572,E582,E592,E602,E612,E622)</f>
        <v>79281</v>
      </c>
      <c r="F630" s="211">
        <f>SUM(F32,F42,F52,F62,F72,F82,F92,F102,F112,F122,F132,F142,F152,F162,F172,F182,F192,F202,F212,F222,F232,F242,F252,F262,F272,F282,F292,F302,F312,F322,F332,F342,F352,F362,F372,F382,F392,F402,F412,F422,F432,F442,F452,F462,F472,F482,F492,F502,F512,F522,F532,F542,F552,F562,F572,F582,F592,F602,F612,F622)</f>
        <v>69329</v>
      </c>
      <c r="G630" s="211">
        <f>SUM(G32,G42,G52,G62,G72,G82,G92,G102,G112,G122,G132,G142,G152,G162,G172,G182,G192,G202,G212,G222,G232,G242,G252,G262,G272,G282,G292,G302,G312,G322,G332,G342,G352,G362,G372,G382,G392,G402,G412,G422,G432,G442,G452,G462,G472,G482,G492,G502,G512,G522,G532,G542,G552,G562,G572,G582,G592,G602,G612,G622)</f>
        <v>61574</v>
      </c>
      <c r="H630" s="172">
        <f>SUM(H32,H42,H52,H62,H72,H82,H92,H102,H112,H122,H132,H142,H152,H162,H172,H182,H192,H202,H212,H222,H232,H242,H252,H262,H272,H282,H292,H302,H312,H322,H332,H342,H352,H362,H372,H382,H392,H402,H412,H422,H432,H442,H452,H462,H472,H482,H492,H502,H512,H522,H532,H542,H552,H562,H572,H582,H592,H602,H612,H622)</f>
        <v>54074</v>
      </c>
    </row>
    <row r="631" spans="1:8" x14ac:dyDescent="0.2">
      <c r="B631" s="268" t="s">
        <v>142</v>
      </c>
      <c r="C631" s="154"/>
      <c r="D631" s="311">
        <f>D629+D630</f>
        <v>85281</v>
      </c>
      <c r="E631" s="311">
        <f>E629+E630</f>
        <v>79281</v>
      </c>
      <c r="F631" s="311">
        <f>F629+F630</f>
        <v>69329</v>
      </c>
      <c r="G631" s="311">
        <f>G629+G630</f>
        <v>61574</v>
      </c>
      <c r="H631" s="312">
        <f>H629+H630</f>
        <v>54074</v>
      </c>
    </row>
    <row r="632" spans="1:8" x14ac:dyDescent="0.2">
      <c r="B632" s="213"/>
      <c r="C632" s="154"/>
      <c r="D632" s="154"/>
      <c r="E632" s="154"/>
      <c r="F632" s="154"/>
      <c r="G632" s="154"/>
      <c r="H632" s="162"/>
    </row>
    <row r="633" spans="1:8" x14ac:dyDescent="0.2">
      <c r="B633" s="268" t="s">
        <v>143</v>
      </c>
      <c r="C633" s="154"/>
      <c r="D633" s="154"/>
      <c r="E633" s="154"/>
      <c r="F633" s="154"/>
      <c r="G633" s="154"/>
      <c r="H633" s="162"/>
    </row>
    <row r="634" spans="1:8" x14ac:dyDescent="0.2">
      <c r="B634" s="213" t="s">
        <v>144</v>
      </c>
      <c r="C634" s="154"/>
      <c r="D634" s="157">
        <f>SUM(D627,D617,D607,D597,D587,D577,D567,D557,D547,D537,D527,D517,D507,D497,D487,D477,D467,D457,D447,D437,D427,D417,D407,D397,D387,D377,D367,D357,D347,D337,D327,D317,D307,D297,D287,D277,D267,D257,D247,D237,D227,D217,D207,D197,D187,D177,D167,D157,D147,D137,D127,D117,D107,D97,D87,D77,D67,D57,D47,D37)</f>
        <v>3639.6192999999994</v>
      </c>
      <c r="E634" s="157">
        <f>SUM(E627,E617,E607,E597,E587,E577,E567,E557,E547,E537,E527,E517,E507,E497,E487,E477,E467,E457,E447,E437,E427,E417,E407,E397,E387,E377,E367,E357,E347,E337,E327,E317,E307,E297,E287,E277,E267,E257,E247,E237,E227,E217,E207,E197,E187,E177,E167,E157,E147,E137,E127,E117,E107,E97,E87,E77,E67,E57,E47,E37)</f>
        <v>3564.6192999999994</v>
      </c>
      <c r="F634" s="157">
        <f>SUM(F627,F617,F607,F597,F587,F577,F567,F557,F547,F537,F527,F517,F507,F497,F487,F477,F467,F457,F447,F437,F427,F417,F407,F397,F387,F377,F367,F357,F347,F337,F327,F317,F307,F297,F287,F277,F267,F257,F247,F237,F227,F217,F207,F197,F187,F177,F167,F157,F147,F137,F127,F117,F107,F97,F87,F77,F67,F57,F47,F37)</f>
        <v>3247.7001549999995</v>
      </c>
      <c r="G634" s="157">
        <f>SUM(G627,G617,G607,G597,G587,G577,G567,G557,G547,G537,G527,G517,G507,G497,G487,G477,G467,G457,G447,G437,G427,G417,G407,G397,G387,G377,G367,G357,G347,G337,G327,G317,G307,G297,G287,G277,G267,G257,G247,G237,G227,G217,G207,G197,G187,G177,G167,G157,G147,G137,G127,G117,G107,G97,G87,G77,G67,G57,G47,G37)</f>
        <v>2860.4360099999994</v>
      </c>
      <c r="H634" s="158">
        <f>SUM(H627,H617,H607,H597,H587,H577,H567,H557,H547,H537,H527,H517,H507,H497,H487,H477,H467,H457,H447,H437,H427,H417,H407,H397,H387,H377,H367,H357,H347,H337,H327,H317,H307,H297,H287,H277,H267,H257,H247,H237,H227,H217,H207,H197,H187,H177,H167,H157,H147,H137,H127,H117,H107,H97,H87,H77,H67,H57,H47,H37)</f>
        <v>2568.6160099999997</v>
      </c>
    </row>
    <row r="635" spans="1:8" x14ac:dyDescent="0.2">
      <c r="B635" s="213" t="s">
        <v>145</v>
      </c>
      <c r="C635" s="154"/>
      <c r="D635" s="157">
        <f>SUM(D11,D18,D25)</f>
        <v>43.5</v>
      </c>
      <c r="E635" s="157">
        <f>SUM(E11,E18,E25)</f>
        <v>0</v>
      </c>
      <c r="F635" s="157">
        <f>SUM(F11,F18,F25)</f>
        <v>0</v>
      </c>
      <c r="G635" s="157">
        <f>SUM(G11,G18,G25)</f>
        <v>0</v>
      </c>
      <c r="H635" s="158">
        <f>SUM(H11,H18,H25)</f>
        <v>0</v>
      </c>
    </row>
    <row r="636" spans="1:8" x14ac:dyDescent="0.2">
      <c r="B636" s="259" t="s">
        <v>146</v>
      </c>
      <c r="C636" s="163"/>
      <c r="D636" s="309">
        <f>SUM(D634,D635)</f>
        <v>3683.1192999999994</v>
      </c>
      <c r="E636" s="309">
        <f>SUM(E634,E635)</f>
        <v>3564.6192999999994</v>
      </c>
      <c r="F636" s="309">
        <f>SUM(F634,F635)</f>
        <v>3247.7001549999995</v>
      </c>
      <c r="G636" s="309">
        <f>SUM(G634,G635)</f>
        <v>2860.4360099999994</v>
      </c>
      <c r="H636" s="310">
        <f>SUM(H634,H635)</f>
        <v>2568.6160099999997</v>
      </c>
    </row>
    <row r="637" spans="1:8" x14ac:dyDescent="0.2">
      <c r="B637" s="269" t="s">
        <v>147</v>
      </c>
      <c r="C637" s="167"/>
      <c r="D637" s="167"/>
      <c r="E637" s="167"/>
      <c r="F637" s="167"/>
      <c r="G637" s="167"/>
      <c r="H637" s="201"/>
    </row>
    <row r="638" spans="1:8" x14ac:dyDescent="0.2">
      <c r="A638" t="s">
        <v>148</v>
      </c>
      <c r="B638" s="213" t="s">
        <v>149</v>
      </c>
      <c r="C638" s="173">
        <f>'Balance Sheet'!G5</f>
        <v>5598</v>
      </c>
      <c r="D638" s="173">
        <f>'Balance Sheet'!H5</f>
        <v>5668.0823999999993</v>
      </c>
      <c r="E638" s="173">
        <f>'Balance Sheet'!I5</f>
        <v>5848.2195510600004</v>
      </c>
      <c r="F638" s="173">
        <f>'Balance Sheet'!J5</f>
        <v>6401.0104217429989</v>
      </c>
      <c r="G638" s="173">
        <f>'Balance Sheet'!K5</f>
        <v>6983.0909620386856</v>
      </c>
      <c r="H638" s="174">
        <f>'Balance Sheet'!L5</f>
        <v>7369.6191648082231</v>
      </c>
    </row>
    <row r="639" spans="1:8" x14ac:dyDescent="0.2">
      <c r="B639" s="213" t="s">
        <v>150</v>
      </c>
      <c r="C639" s="154"/>
      <c r="D639" s="281">
        <f ca="1">'Cashflow Statement'!D96</f>
        <v>30959.539614479887</v>
      </c>
      <c r="E639" s="281">
        <f ca="1">'Cashflow Statement'!E96</f>
        <v>53712.166998289606</v>
      </c>
      <c r="F639" s="281">
        <f ca="1">'Cashflow Statement'!F96</f>
        <v>72350.043610139881</v>
      </c>
      <c r="G639" s="281">
        <f ca="1">'Cashflow Statement'!G96</f>
        <v>97751.828443079648</v>
      </c>
      <c r="H639" s="282">
        <f ca="1">'Cashflow Statement'!H96</f>
        <v>124463.00817763872</v>
      </c>
    </row>
    <row r="640" spans="1:8" x14ac:dyDescent="0.2">
      <c r="B640" s="268" t="s">
        <v>151</v>
      </c>
      <c r="C640" s="270"/>
      <c r="D640" s="271">
        <f ca="1">SUM(D638,D639)</f>
        <v>36627.622014479886</v>
      </c>
      <c r="E640" s="271">
        <f ca="1">SUM(E638,E639)</f>
        <v>59560.386549349605</v>
      </c>
      <c r="F640" s="271">
        <f ca="1">SUM(F638,F639)</f>
        <v>78751.054031882886</v>
      </c>
      <c r="G640" s="271">
        <f ca="1">SUM(G638,G639)</f>
        <v>104734.91940511833</v>
      </c>
      <c r="H640" s="208">
        <f ca="1">SUM(H638,H639)</f>
        <v>131832.62734244694</v>
      </c>
    </row>
    <row r="641" spans="2:8" x14ac:dyDescent="0.2">
      <c r="B641" s="213"/>
      <c r="C641" s="154"/>
      <c r="D641" s="154"/>
      <c r="E641" s="154"/>
      <c r="F641" s="154"/>
      <c r="G641" s="154"/>
      <c r="H641" s="162"/>
    </row>
    <row r="642" spans="2:8" x14ac:dyDescent="0.2">
      <c r="B642" s="213" t="s">
        <v>152</v>
      </c>
      <c r="C642" s="272"/>
      <c r="D642" s="212">
        <v>4.4999999999999998E-2</v>
      </c>
      <c r="E642" s="212">
        <v>4.4999999999999998E-2</v>
      </c>
      <c r="F642" s="212">
        <v>4.4999999999999998E-2</v>
      </c>
      <c r="G642" s="212">
        <v>4.4999999999999998E-2</v>
      </c>
      <c r="H642" s="209">
        <v>4.4999999999999998E-2</v>
      </c>
    </row>
    <row r="643" spans="2:8" x14ac:dyDescent="0.2">
      <c r="B643" s="213"/>
      <c r="C643" s="154"/>
      <c r="D643" s="154"/>
      <c r="E643" s="154"/>
      <c r="F643" s="154"/>
      <c r="G643" s="154"/>
      <c r="H643" s="162"/>
    </row>
    <row r="644" spans="2:8" x14ac:dyDescent="0.2">
      <c r="B644" s="213" t="s">
        <v>79</v>
      </c>
      <c r="C644" s="154"/>
      <c r="D644" s="270">
        <f ca="1">AVERAGE(D640)</f>
        <v>36627.622014479886</v>
      </c>
      <c r="E644" s="270">
        <f ca="1">AVERAGE(E640,D640)</f>
        <v>48094.004281914749</v>
      </c>
      <c r="F644" s="270">
        <f ca="1">AVERAGE(F640,E640)</f>
        <v>69155.720290616242</v>
      </c>
      <c r="G644" s="270">
        <f ca="1">AVERAGE(G640,F640)</f>
        <v>91742.986718500615</v>
      </c>
      <c r="H644" s="286">
        <f t="shared" ref="H644" ca="1" si="2">AVERAGE(H640,G640)</f>
        <v>118283.77337378263</v>
      </c>
    </row>
    <row r="645" spans="2:8" x14ac:dyDescent="0.2">
      <c r="B645" s="259" t="s">
        <v>153</v>
      </c>
      <c r="C645" s="273"/>
      <c r="D645" s="274">
        <f ca="1">D644*D642</f>
        <v>1648.2429906515947</v>
      </c>
      <c r="E645" s="274">
        <f ca="1">E644*E642</f>
        <v>2164.2301926861637</v>
      </c>
      <c r="F645" s="274">
        <f ca="1">F644*F642</f>
        <v>3112.0074130777307</v>
      </c>
      <c r="G645" s="274">
        <f ca="1">G644*G642</f>
        <v>4128.4344023325275</v>
      </c>
      <c r="H645" s="210">
        <f ca="1">H644*H642</f>
        <v>5322.7698018202182</v>
      </c>
    </row>
    <row r="646" spans="2:8" x14ac:dyDescent="0.2">
      <c r="B646" s="106"/>
      <c r="C646" s="106"/>
      <c r="D646" s="106"/>
      <c r="E646" s="106"/>
      <c r="F646" s="106"/>
      <c r="G646" s="106"/>
    </row>
    <row r="647" spans="2:8" x14ac:dyDescent="0.2">
      <c r="B647" s="106"/>
      <c r="C647" s="106"/>
      <c r="D647" s="106"/>
      <c r="E647" s="106"/>
      <c r="F647" s="106"/>
      <c r="G647" s="106"/>
      <c r="H647" s="106"/>
    </row>
    <row r="648" spans="2:8" x14ac:dyDescent="0.2">
      <c r="B648" s="106"/>
      <c r="C648" s="106"/>
      <c r="D648" s="106"/>
      <c r="E648" s="106"/>
      <c r="F648" s="106"/>
      <c r="G648" s="106"/>
      <c r="H648" s="106"/>
    </row>
    <row r="649" spans="2:8" x14ac:dyDescent="0.2">
      <c r="B649" s="106"/>
      <c r="C649" s="106"/>
      <c r="D649" s="106"/>
      <c r="E649" s="106"/>
      <c r="F649" s="106"/>
      <c r="G649" s="106"/>
      <c r="H649" s="106"/>
    </row>
    <row r="650" spans="2:8" x14ac:dyDescent="0.2">
      <c r="B650" s="106"/>
      <c r="C650" s="106"/>
      <c r="D650" s="106"/>
      <c r="E650" s="106"/>
      <c r="F650" s="106"/>
      <c r="G650" s="106"/>
      <c r="H650" s="106"/>
    </row>
    <row r="651" spans="2:8" x14ac:dyDescent="0.2">
      <c r="B651" s="106"/>
      <c r="C651" s="106"/>
      <c r="D651" s="106"/>
      <c r="E651" s="106"/>
      <c r="F651" s="106"/>
      <c r="G651" s="106"/>
      <c r="H651" s="106"/>
    </row>
    <row r="652" spans="2:8" x14ac:dyDescent="0.2">
      <c r="B652" s="106"/>
      <c r="C652" s="106"/>
      <c r="D652" s="106"/>
      <c r="E652" s="106"/>
      <c r="F652" s="106"/>
      <c r="G652" s="106"/>
      <c r="H652" s="106"/>
    </row>
    <row r="653" spans="2:8" x14ac:dyDescent="0.2">
      <c r="B653" s="106"/>
      <c r="C653" s="106"/>
      <c r="D653" s="106"/>
      <c r="E653" s="106"/>
      <c r="F653" s="106"/>
      <c r="G653" s="106"/>
      <c r="H653" s="106"/>
    </row>
    <row r="654" spans="2:8" x14ac:dyDescent="0.2">
      <c r="B654" s="106"/>
      <c r="C654" s="106"/>
      <c r="D654" s="106"/>
      <c r="E654" s="106"/>
      <c r="F654" s="106"/>
      <c r="G654" s="106"/>
      <c r="H654" s="106"/>
    </row>
    <row r="655" spans="2:8" x14ac:dyDescent="0.2">
      <c r="B655" s="106"/>
      <c r="C655" s="106"/>
      <c r="D655" s="106"/>
      <c r="E655" s="106"/>
      <c r="F655" s="106"/>
      <c r="G655" s="106"/>
      <c r="H655" s="106"/>
    </row>
    <row r="656" spans="2:8" x14ac:dyDescent="0.2">
      <c r="B656" s="106"/>
      <c r="C656" s="106"/>
      <c r="D656" s="106"/>
      <c r="E656" s="106"/>
      <c r="F656" s="106"/>
      <c r="G656" s="106"/>
      <c r="H656" s="106"/>
    </row>
    <row r="657" spans="2:8" x14ac:dyDescent="0.2">
      <c r="B657" s="106"/>
      <c r="C657" s="106"/>
      <c r="D657" s="106"/>
      <c r="E657" s="106"/>
      <c r="F657" s="106"/>
      <c r="G657" s="106"/>
      <c r="H657" s="106"/>
    </row>
    <row r="658" spans="2:8" x14ac:dyDescent="0.2">
      <c r="B658" s="106"/>
      <c r="C658" s="106"/>
      <c r="D658" s="106"/>
      <c r="E658" s="106"/>
      <c r="F658" s="106"/>
      <c r="G658" s="106"/>
      <c r="H658" s="106"/>
    </row>
    <row r="659" spans="2:8" x14ac:dyDescent="0.2">
      <c r="B659" s="106"/>
      <c r="C659" s="106"/>
      <c r="D659" s="106"/>
      <c r="E659" s="106"/>
      <c r="F659" s="106"/>
      <c r="G659" s="106"/>
      <c r="H659" s="106"/>
    </row>
    <row r="660" spans="2:8" x14ac:dyDescent="0.2">
      <c r="B660" s="106"/>
      <c r="C660" s="106"/>
      <c r="D660" s="106"/>
      <c r="E660" s="106"/>
      <c r="F660" s="106"/>
      <c r="G660" s="106"/>
      <c r="H660" s="106"/>
    </row>
    <row r="661" spans="2:8" x14ac:dyDescent="0.2">
      <c r="B661" s="106"/>
      <c r="C661" s="106"/>
      <c r="D661" s="106"/>
      <c r="E661" s="106"/>
      <c r="F661" s="106"/>
      <c r="G661" s="106"/>
      <c r="H661" s="106"/>
    </row>
  </sheetData>
  <mergeCells count="2">
    <mergeCell ref="B2:B3"/>
    <mergeCell ref="D2:H2"/>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A3ED2-601E-4381-85E1-2E6C3C4779D4}">
  <dimension ref="B2:L228"/>
  <sheetViews>
    <sheetView showGridLines="0" topLeftCell="A86" zoomScale="75" zoomScaleNormal="50" workbookViewId="0">
      <selection activeCell="G7" sqref="G7"/>
    </sheetView>
  </sheetViews>
  <sheetFormatPr baseColWidth="10" defaultColWidth="8.6640625" defaultRowHeight="15" x14ac:dyDescent="0.2"/>
  <cols>
    <col min="2" max="2" width="42.5" customWidth="1"/>
    <col min="3" max="7" width="15.5" customWidth="1"/>
    <col min="8" max="8" width="15.6640625" customWidth="1"/>
    <col min="9" max="9" width="15.5" customWidth="1"/>
    <col min="10" max="10" width="15.6640625" customWidth="1"/>
    <col min="11" max="12" width="15.5" customWidth="1"/>
  </cols>
  <sheetData>
    <row r="2" spans="2:12" ht="15" customHeight="1" x14ac:dyDescent="0.2">
      <c r="B2" s="561" t="s">
        <v>9</v>
      </c>
      <c r="C2" s="548" t="s">
        <v>10</v>
      </c>
      <c r="D2" s="548"/>
      <c r="E2" s="548"/>
      <c r="F2" s="548"/>
      <c r="G2" s="549"/>
      <c r="H2" s="562" t="s">
        <v>11</v>
      </c>
      <c r="I2" s="548"/>
      <c r="J2" s="548"/>
      <c r="K2" s="548"/>
      <c r="L2" s="549"/>
    </row>
    <row r="3" spans="2:12" ht="15" customHeight="1" x14ac:dyDescent="0.2">
      <c r="B3" s="563" t="s">
        <v>12</v>
      </c>
      <c r="C3" s="553" t="s">
        <v>13</v>
      </c>
      <c r="D3" s="553" t="s">
        <v>14</v>
      </c>
      <c r="E3" s="553" t="s">
        <v>15</v>
      </c>
      <c r="F3" s="553" t="s">
        <v>16</v>
      </c>
      <c r="G3" s="554" t="s">
        <v>17</v>
      </c>
      <c r="H3" s="564" t="s">
        <v>18</v>
      </c>
      <c r="I3" s="553" t="s">
        <v>19</v>
      </c>
      <c r="J3" s="553" t="s">
        <v>20</v>
      </c>
      <c r="K3" s="553" t="s">
        <v>21</v>
      </c>
      <c r="L3" s="554" t="s">
        <v>22</v>
      </c>
    </row>
    <row r="4" spans="2:12" ht="15" customHeight="1" x14ac:dyDescent="0.2">
      <c r="B4" s="15" t="s">
        <v>154</v>
      </c>
      <c r="C4" s="19"/>
      <c r="D4" s="19"/>
      <c r="E4" s="19"/>
      <c r="F4" s="19"/>
      <c r="G4" s="19"/>
      <c r="H4" s="10"/>
      <c r="I4" s="69"/>
      <c r="J4" s="69"/>
      <c r="K4" s="69"/>
      <c r="L4" s="70"/>
    </row>
    <row r="5" spans="2:12" ht="15" customHeight="1" x14ac:dyDescent="0.2">
      <c r="B5" s="11" t="s">
        <v>155</v>
      </c>
      <c r="C5" s="221">
        <v>6631</v>
      </c>
      <c r="D5" s="221">
        <v>4507</v>
      </c>
      <c r="E5" s="221">
        <v>5135</v>
      </c>
      <c r="F5" s="221">
        <v>5409</v>
      </c>
      <c r="G5" s="221">
        <v>5598</v>
      </c>
      <c r="H5" s="239">
        <f>Assumptions!L14*'Income Statement'!H11</f>
        <v>5668.0823999999993</v>
      </c>
      <c r="I5" s="240">
        <f>Assumptions!M14*'Income Statement'!I11</f>
        <v>5848.2195510600004</v>
      </c>
      <c r="J5" s="240">
        <f>Assumptions!N14*'Income Statement'!J11</f>
        <v>6401.0104217429989</v>
      </c>
      <c r="K5" s="240">
        <f>Assumptions!O14*'Income Statement'!K11</f>
        <v>6983.0909620386856</v>
      </c>
      <c r="L5" s="241">
        <f>Assumptions!P14*'Income Statement'!L11</f>
        <v>7369.6191648082231</v>
      </c>
    </row>
    <row r="6" spans="2:12" ht="15" customHeight="1" x14ac:dyDescent="0.2">
      <c r="B6" s="11" t="s">
        <v>156</v>
      </c>
      <c r="C6" s="221"/>
      <c r="D6" s="221"/>
      <c r="E6" s="221"/>
      <c r="F6" s="221"/>
      <c r="G6" s="221"/>
      <c r="H6" s="239">
        <f ca="1">IF('Cashflow Statement'!D96&gt;0,'Cashflow Statement'!D96,0)</f>
        <v>30959.539614479887</v>
      </c>
      <c r="I6" s="240">
        <f ca="1">IF('Cashflow Statement'!E96&gt;0,'Cashflow Statement'!E96,0)</f>
        <v>53712.166998289606</v>
      </c>
      <c r="J6" s="240">
        <f ca="1">IF('Cashflow Statement'!F96&gt;0,'Cashflow Statement'!F96,0)</f>
        <v>72350.043610139881</v>
      </c>
      <c r="K6" s="240">
        <f ca="1">IF('Cashflow Statement'!G96&gt;0,'Cashflow Statement'!G96,0)</f>
        <v>97751.828443079648</v>
      </c>
      <c r="L6" s="241">
        <f ca="1">IF('Cashflow Statement'!H96&gt;0,'Cashflow Statement'!H96,0)</f>
        <v>124463.00817763872</v>
      </c>
    </row>
    <row r="7" spans="2:12" ht="15" customHeight="1" x14ac:dyDescent="0.2">
      <c r="B7" s="11" t="s">
        <v>157</v>
      </c>
      <c r="C7" s="222">
        <v>4194</v>
      </c>
      <c r="D7" s="222">
        <v>4445</v>
      </c>
      <c r="E7" s="222">
        <v>4692</v>
      </c>
      <c r="F7" s="222">
        <v>4276</v>
      </c>
      <c r="G7" s="222">
        <v>4874</v>
      </c>
      <c r="H7" s="239">
        <f>Assumptions!L15*'Income Statement'!H11</f>
        <v>5290.2102399999994</v>
      </c>
      <c r="I7" s="240">
        <f>Assumptions!M15*'Income Statement'!I11</f>
        <v>5747.3881794900008</v>
      </c>
      <c r="J7" s="240">
        <f>Assumptions!N15*'Income Statement'!J11</f>
        <v>5974.2763936267993</v>
      </c>
      <c r="K7" s="240">
        <f>Assumptions!O15*'Income Statement'!K11</f>
        <v>6194.6774663246406</v>
      </c>
      <c r="L7" s="241">
        <f>Assumptions!P15*'Income Statement'!L11</f>
        <v>6537.5653881363269</v>
      </c>
    </row>
    <row r="8" spans="2:12" ht="15" customHeight="1" x14ac:dyDescent="0.2">
      <c r="B8" s="11" t="s">
        <v>158</v>
      </c>
      <c r="C8" s="222">
        <v>4748</v>
      </c>
      <c r="D8" s="222">
        <v>5123</v>
      </c>
      <c r="E8" s="222">
        <v>4456</v>
      </c>
      <c r="F8" s="222">
        <v>4379</v>
      </c>
      <c r="G8" s="222">
        <v>4997</v>
      </c>
      <c r="H8" s="239">
        <f>Assumptions!L16*'Income Statement'!C11</f>
        <v>4646.8440000000001</v>
      </c>
      <c r="I8" s="240">
        <f>Assumptions!M16*'Income Statement'!D11</f>
        <v>4535.5470000000005</v>
      </c>
      <c r="J8" s="240">
        <f>Assumptions!N16*'Income Statement'!E11</f>
        <v>4242.1319999999996</v>
      </c>
      <c r="K8" s="240">
        <f>Assumptions!O16*'Income Statement'!F11</f>
        <v>4314.2</v>
      </c>
      <c r="L8" s="241">
        <f>Assumptions!P16*'Income Statement'!G11</f>
        <v>4768.6859999999997</v>
      </c>
    </row>
    <row r="9" spans="2:12" ht="15" customHeight="1" x14ac:dyDescent="0.2">
      <c r="B9" s="11" t="s">
        <v>159</v>
      </c>
      <c r="C9" s="222">
        <v>2567</v>
      </c>
      <c r="D9" s="222">
        <v>1884</v>
      </c>
      <c r="E9" s="222">
        <v>1678</v>
      </c>
      <c r="F9" s="222">
        <v>1607</v>
      </c>
      <c r="G9" s="222">
        <v>2405</v>
      </c>
      <c r="H9" s="239">
        <f>('Income Statement'!H13+'Income Statement'!H14)*Assumptions!L17</f>
        <v>2373.509505</v>
      </c>
      <c r="I9" s="240">
        <f>('Income Statement'!I13+'Income Statement'!I14)*Assumptions!M17</f>
        <v>2455.4455604726404</v>
      </c>
      <c r="J9" s="240">
        <f>('Income Statement'!J13+'Income Statement'!J14)*Assumptions!N17</f>
        <v>2440.3852232895183</v>
      </c>
      <c r="K9" s="240">
        <f>('Income Statement'!K13+'Income Statement'!K14)*Assumptions!O17</f>
        <v>2486.8814264808734</v>
      </c>
      <c r="L9" s="241">
        <f>('Income Statement'!L13+'Income Statement'!L14)*Assumptions!P17</f>
        <v>2545.7279621402859</v>
      </c>
    </row>
    <row r="10" spans="2:12" ht="15" customHeight="1" x14ac:dyDescent="0.2">
      <c r="B10" s="11" t="s">
        <v>160</v>
      </c>
      <c r="C10" s="223">
        <v>746</v>
      </c>
      <c r="D10" s="223">
        <v>673</v>
      </c>
      <c r="E10" s="223">
        <v>702</v>
      </c>
      <c r="F10" s="223">
        <v>880</v>
      </c>
      <c r="G10" s="222">
        <v>1215</v>
      </c>
      <c r="H10" s="239">
        <f>Assumptions!L18*'Income Statement'!H11</f>
        <v>1180.8505</v>
      </c>
      <c r="I10" s="240">
        <f>Assumptions!M18*'Income Statement'!I11</f>
        <v>1109.14508727</v>
      </c>
      <c r="J10" s="240">
        <f>Assumptions!N18*'Income Statement'!J11</f>
        <v>1066.8350702905</v>
      </c>
      <c r="K10" s="240">
        <f>Assumptions!O18*'Income Statement'!K11</f>
        <v>1069.9897441833468</v>
      </c>
      <c r="L10" s="241">
        <f>Assumptions!P18*'Income Statement'!L11</f>
        <v>1129.2158397690021</v>
      </c>
    </row>
    <row r="11" spans="2:12" ht="15" customHeight="1" x14ac:dyDescent="0.2">
      <c r="B11" s="11" t="s">
        <v>161</v>
      </c>
      <c r="C11" s="222">
        <v>2005</v>
      </c>
      <c r="D11" s="222">
        <v>2435</v>
      </c>
      <c r="E11" s="222">
        <v>2352</v>
      </c>
      <c r="F11" s="222">
        <v>1853</v>
      </c>
      <c r="G11" s="222">
        <v>5372</v>
      </c>
      <c r="H11" s="239">
        <f>Assumptions!L19*'Income Statement'!H11</f>
        <v>7557.4431999999997</v>
      </c>
      <c r="I11" s="240">
        <f>Assumptions!M19*'Income Statement'!I11</f>
        <v>7058.1960099000007</v>
      </c>
      <c r="J11" s="240">
        <f>Assumptions!N19*'Income Statement'!J11</f>
        <v>6721.0609428301495</v>
      </c>
      <c r="K11" s="240">
        <f>Assumptions!O19*'Income Statement'!K11</f>
        <v>5631.5249693860369</v>
      </c>
      <c r="L11" s="241">
        <f>Assumptions!P19*'Income Statement'!L11</f>
        <v>5705.5116114644316</v>
      </c>
    </row>
    <row r="12" spans="2:12" ht="15" customHeight="1" x14ac:dyDescent="0.2">
      <c r="B12" s="15" t="s">
        <v>162</v>
      </c>
      <c r="C12" s="5">
        <f t="shared" ref="C12:G12" si="0">C5+C7+C8+C9+C10+C11</f>
        <v>20891</v>
      </c>
      <c r="D12" s="5">
        <f t="shared" si="0"/>
        <v>19067</v>
      </c>
      <c r="E12" s="5">
        <f t="shared" si="0"/>
        <v>19015</v>
      </c>
      <c r="F12" s="5">
        <f t="shared" si="0"/>
        <v>18404</v>
      </c>
      <c r="G12" s="237">
        <f t="shared" si="0"/>
        <v>24461</v>
      </c>
      <c r="H12" s="235">
        <f ca="1">SUM(H5:H11)</f>
        <v>57676.479459479888</v>
      </c>
      <c r="I12" s="235">
        <f t="shared" ref="I12:L12" ca="1" si="1">SUM(I5:I11)</f>
        <v>80466.108386482243</v>
      </c>
      <c r="J12" s="235">
        <f t="shared" ca="1" si="1"/>
        <v>99195.743661919856</v>
      </c>
      <c r="K12" s="235">
        <f t="shared" ca="1" si="1"/>
        <v>124432.19301149323</v>
      </c>
      <c r="L12" s="236">
        <f t="shared" ca="1" si="1"/>
        <v>152519.33414395698</v>
      </c>
    </row>
    <row r="13" spans="2:12" ht="15" customHeight="1" x14ac:dyDescent="0.2">
      <c r="B13" s="15"/>
      <c r="C13" s="177"/>
      <c r="D13" s="177"/>
      <c r="E13" s="177"/>
      <c r="F13" s="177"/>
      <c r="G13" s="215"/>
      <c r="H13" s="177"/>
      <c r="I13" s="177"/>
      <c r="J13" s="177"/>
      <c r="K13" s="177"/>
      <c r="L13" s="215"/>
    </row>
    <row r="14" spans="2:12" ht="15" customHeight="1" x14ac:dyDescent="0.2">
      <c r="B14" s="11" t="s">
        <v>163</v>
      </c>
      <c r="C14" s="222">
        <v>39803</v>
      </c>
      <c r="D14" s="222">
        <v>42086</v>
      </c>
      <c r="E14" s="222">
        <v>40432</v>
      </c>
      <c r="F14" s="222">
        <v>38533</v>
      </c>
      <c r="G14" s="222">
        <v>38333</v>
      </c>
      <c r="H14" s="87">
        <f>Calcs!H17</f>
        <v>32948.32172</v>
      </c>
      <c r="I14" s="180">
        <f>Calcs!I17</f>
        <v>27906.753141499998</v>
      </c>
      <c r="J14" s="180">
        <f>Calcs!J17</f>
        <v>22785.944804105598</v>
      </c>
      <c r="K14" s="180">
        <f>Calcs!K17</f>
        <v>17379.680833495007</v>
      </c>
      <c r="L14" s="184">
        <f>Calcs!L17</f>
        <v>11793.034047269419</v>
      </c>
    </row>
    <row r="15" spans="2:12" ht="15" customHeight="1" x14ac:dyDescent="0.2">
      <c r="B15" s="11" t="s">
        <v>164</v>
      </c>
      <c r="C15" s="222">
        <v>26959</v>
      </c>
      <c r="D15" s="222">
        <v>28715</v>
      </c>
      <c r="E15" s="222">
        <v>27135</v>
      </c>
      <c r="F15" s="222">
        <v>25398</v>
      </c>
      <c r="G15" s="222">
        <v>25692</v>
      </c>
      <c r="H15" s="87">
        <f>Assumptions!L22*'Income Statement'!H11</f>
        <v>26923.391399999997</v>
      </c>
      <c r="I15" s="180">
        <f>Assumptions!M22*'Income Statement'!I11</f>
        <v>28031.121296460002</v>
      </c>
      <c r="J15" s="180">
        <f>Assumptions!N22*'Income Statement'!J11</f>
        <v>29231.280925959698</v>
      </c>
      <c r="K15" s="180">
        <f>Assumptions!O22*'Income Statement'!K11</f>
        <v>30410.234834684601</v>
      </c>
      <c r="L15" s="184">
        <f>Assumptions!P22*'Income Statement'!L11</f>
        <v>32093.502814487427</v>
      </c>
    </row>
    <row r="16" spans="2:12" ht="15" customHeight="1" x14ac:dyDescent="0.2">
      <c r="B16" s="11" t="s">
        <v>165</v>
      </c>
      <c r="C16" s="222">
        <v>3322</v>
      </c>
      <c r="D16" s="222">
        <v>3257</v>
      </c>
      <c r="E16" s="222">
        <v>3270</v>
      </c>
      <c r="F16" s="222">
        <v>3091</v>
      </c>
      <c r="G16" s="222">
        <v>2760</v>
      </c>
      <c r="H16" s="87">
        <f>Assumptions!L23*'Income Statement'!H11</f>
        <v>2881.2752199999995</v>
      </c>
      <c r="I16" s="180">
        <f>Assumptions!M23*'Income Statement'!I11</f>
        <v>3024.9411470999999</v>
      </c>
      <c r="J16" s="180">
        <f>Assumptions!N23*'Income Statement'!J11</f>
        <v>3093.8217038424496</v>
      </c>
      <c r="K16" s="180">
        <f>Assumptions!O23*'Income Statement'!K11</f>
        <v>3153.6539828561804</v>
      </c>
      <c r="L16" s="184">
        <f>Assumptions!P23*'Income Statement'!L11</f>
        <v>3268.7826940681634</v>
      </c>
    </row>
    <row r="17" spans="2:12" ht="15" customHeight="1" x14ac:dyDescent="0.2">
      <c r="B17" s="11" t="s">
        <v>166</v>
      </c>
      <c r="C17" s="222">
        <v>12188</v>
      </c>
      <c r="D17" s="222">
        <v>12234</v>
      </c>
      <c r="E17" s="222">
        <v>12234</v>
      </c>
      <c r="F17" s="222">
        <v>13005</v>
      </c>
      <c r="G17" s="222">
        <v>13678</v>
      </c>
      <c r="H17" s="185">
        <v>13678</v>
      </c>
      <c r="I17" s="181">
        <v>13678</v>
      </c>
      <c r="J17" s="181">
        <v>13678</v>
      </c>
      <c r="K17" s="181">
        <v>13678</v>
      </c>
      <c r="L17" s="186">
        <v>13678</v>
      </c>
    </row>
    <row r="18" spans="2:12" ht="15" customHeight="1" x14ac:dyDescent="0.2">
      <c r="B18" s="11" t="s">
        <v>167</v>
      </c>
      <c r="C18" s="222">
        <v>92606</v>
      </c>
      <c r="D18" s="222">
        <v>95798</v>
      </c>
      <c r="E18" s="222">
        <v>96707</v>
      </c>
      <c r="F18" s="222">
        <v>100558</v>
      </c>
      <c r="G18" s="222">
        <v>98032</v>
      </c>
      <c r="H18" s="187">
        <v>98032</v>
      </c>
      <c r="I18" s="182">
        <v>98032</v>
      </c>
      <c r="J18" s="182">
        <v>98032</v>
      </c>
      <c r="K18" s="182">
        <v>98032</v>
      </c>
      <c r="L18" s="86">
        <v>98032</v>
      </c>
    </row>
    <row r="19" spans="2:12" ht="15" customHeight="1" x14ac:dyDescent="0.2">
      <c r="B19" s="11" t="s">
        <v>168</v>
      </c>
      <c r="C19" s="222">
        <v>4733</v>
      </c>
      <c r="D19" s="222">
        <v>3508</v>
      </c>
      <c r="E19" s="222">
        <v>2618</v>
      </c>
      <c r="F19" s="222">
        <v>2512</v>
      </c>
      <c r="G19" s="222">
        <v>3843</v>
      </c>
      <c r="H19" s="87">
        <f>Assumptions!L26*'Income Statement'!H11</f>
        <v>3778.7215999999999</v>
      </c>
      <c r="I19" s="180">
        <f>Assumptions!M26*'Income Statement'!I11</f>
        <v>3629.92937652</v>
      </c>
      <c r="J19" s="180">
        <f>Assumptions!N26*'Income Statement'!J11</f>
        <v>3413.8722249295997</v>
      </c>
      <c r="K19" s="180">
        <f>Assumptions!O26*'Income Statement'!K11</f>
        <v>3435.2302313254822</v>
      </c>
      <c r="L19" s="184">
        <f>Assumptions!P26*'Income Statement'!L11</f>
        <v>3625.3771697846905</v>
      </c>
    </row>
    <row r="20" spans="2:12" ht="15" customHeight="1" x14ac:dyDescent="0.2">
      <c r="B20" s="11" t="s">
        <v>169</v>
      </c>
      <c r="C20" s="222">
        <v>2829</v>
      </c>
      <c r="D20" s="222">
        <v>2546</v>
      </c>
      <c r="E20" s="222">
        <v>2042</v>
      </c>
      <c r="F20" s="222">
        <v>2209</v>
      </c>
      <c r="G20" s="222">
        <v>2683</v>
      </c>
      <c r="H20" s="87">
        <f>Assumptions!L27*'Income Statement'!H11</f>
        <v>2928.5092399999999</v>
      </c>
      <c r="I20" s="180">
        <f>Assumptions!M27*'Income Statement'!I11</f>
        <v>3176.1882044550002</v>
      </c>
      <c r="J20" s="180">
        <f>Assumptions!N27*'Income Statement'!J11</f>
        <v>3307.1887179005494</v>
      </c>
      <c r="K20" s="180">
        <f>Assumptions!O27*'Income Statement'!K11</f>
        <v>3435.2302313254822</v>
      </c>
      <c r="L20" s="184">
        <f>Assumptions!P27*'Income Statement'!L11</f>
        <v>3625.3771697846905</v>
      </c>
    </row>
    <row r="21" spans="2:12" ht="15" customHeight="1" x14ac:dyDescent="0.2">
      <c r="B21" s="11" t="s">
        <v>170</v>
      </c>
      <c r="C21" s="222">
        <v>3232</v>
      </c>
      <c r="D21" s="222">
        <v>4127</v>
      </c>
      <c r="E21" s="222">
        <v>4229</v>
      </c>
      <c r="F21" s="222">
        <v>4325</v>
      </c>
      <c r="G21" s="222">
        <v>9755</v>
      </c>
      <c r="H21" s="87">
        <f>Assumptions!L28*'Income Statement'!H11</f>
        <v>7557.4431999999997</v>
      </c>
      <c r="I21" s="180">
        <f>Assumptions!M28*'Income Statement'!I11</f>
        <v>6049.8822941999997</v>
      </c>
      <c r="J21" s="180">
        <f>Assumptions!N28*'Income Statement'!J11</f>
        <v>5867.5928865977494</v>
      </c>
      <c r="K21" s="180">
        <f>Assumptions!O28*'Income Statement'!K11</f>
        <v>5631.5249693860369</v>
      </c>
      <c r="L21" s="184">
        <f>Assumptions!P28*'Income Statement'!L11</f>
        <v>5705.5116114644316</v>
      </c>
    </row>
    <row r="22" spans="2:12" ht="15" customHeight="1" x14ac:dyDescent="0.2">
      <c r="B22" s="15" t="s">
        <v>171</v>
      </c>
      <c r="C22" s="5">
        <v>206563</v>
      </c>
      <c r="D22" s="5">
        <v>211338</v>
      </c>
      <c r="E22" s="5">
        <v>207682</v>
      </c>
      <c r="F22" s="5">
        <v>208035</v>
      </c>
      <c r="G22" s="5">
        <v>219237</v>
      </c>
      <c r="H22" s="89">
        <f ca="1">SUM(H12:H21)</f>
        <v>246404.14183947991</v>
      </c>
      <c r="I22" s="183">
        <f ca="1">SUM(I12:I21)</f>
        <v>263994.92384671728</v>
      </c>
      <c r="J22" s="183">
        <f ca="1">SUM(J12:J21)</f>
        <v>278605.44492525549</v>
      </c>
      <c r="K22" s="183">
        <f ca="1">SUM(K12:K21)</f>
        <v>299587.74809456605</v>
      </c>
      <c r="L22" s="188">
        <f ca="1">SUM(L12:L21)</f>
        <v>324340.91965081578</v>
      </c>
    </row>
    <row r="23" spans="2:12" ht="15" customHeight="1" x14ac:dyDescent="0.2">
      <c r="B23" s="15"/>
      <c r="C23" s="177"/>
      <c r="D23" s="177"/>
      <c r="E23" s="177"/>
      <c r="F23" s="177"/>
      <c r="G23" s="215"/>
      <c r="H23" s="216"/>
      <c r="I23" s="216"/>
      <c r="J23" s="216"/>
      <c r="K23" s="216"/>
      <c r="L23" s="217"/>
    </row>
    <row r="24" spans="2:12" ht="15" customHeight="1" x14ac:dyDescent="0.2">
      <c r="B24" s="15" t="s">
        <v>172</v>
      </c>
      <c r="C24" s="19"/>
      <c r="D24" s="19"/>
      <c r="E24" s="19"/>
      <c r="F24" s="19"/>
      <c r="G24" s="19"/>
      <c r="H24" s="84"/>
      <c r="I24" s="176"/>
      <c r="J24" s="176"/>
      <c r="K24" s="176"/>
      <c r="L24" s="85"/>
    </row>
    <row r="25" spans="2:12" ht="15" customHeight="1" x14ac:dyDescent="0.2">
      <c r="B25" s="213" t="s">
        <v>173</v>
      </c>
      <c r="C25" s="224"/>
      <c r="D25" s="224"/>
      <c r="E25" s="224"/>
      <c r="F25" s="224"/>
      <c r="G25" s="224"/>
      <c r="H25" s="84">
        <f>IF('Cashflow Statement'!D95&lt;0,-'Cashflow Statement'!D95,0)</f>
        <v>0</v>
      </c>
      <c r="I25" s="176">
        <f>IF('Cashflow Statement'!E95&lt;0,-'Cashflow Statement'!E95,0)</f>
        <v>0</v>
      </c>
      <c r="J25" s="176">
        <f>IF('Cashflow Statement'!F95&lt;0,-'Cashflow Statement'!F95,0)</f>
        <v>0</v>
      </c>
      <c r="K25" s="176">
        <f>IF('Cashflow Statement'!G95&lt;0,-'Cashflow Statement'!G95,0)</f>
        <v>0</v>
      </c>
      <c r="L25" s="85">
        <f>IF('Cashflow Statement'!H95&lt;0,-'Cashflow Statement'!H95,0)</f>
        <v>0</v>
      </c>
    </row>
    <row r="26" spans="2:12" ht="21" customHeight="1" x14ac:dyDescent="0.2">
      <c r="B26" s="11" t="s">
        <v>174</v>
      </c>
      <c r="C26" s="222">
        <v>11405</v>
      </c>
      <c r="D26" s="222">
        <v>12275</v>
      </c>
      <c r="E26" s="222">
        <v>10373</v>
      </c>
      <c r="F26" s="222">
        <v>8463</v>
      </c>
      <c r="G26" s="222">
        <v>10280</v>
      </c>
      <c r="H26" s="88">
        <f>Assumptions!L30*('Income Statement'!H13+'Income Statement'!H14)</f>
        <v>10733.931044999999</v>
      </c>
      <c r="I26" s="189">
        <f>Assumptions!M30*('Income Statement'!I13+'Income Statement'!I14)</f>
        <v>10435.643632008721</v>
      </c>
      <c r="J26" s="189">
        <f>Assumptions!N30*('Income Statement'!J13+'Income Statement'!J14)</f>
        <v>11841.869280224548</v>
      </c>
      <c r="K26" s="189">
        <f>Assumptions!O30*('Income Statement'!K13+'Income Statement'!K14)</f>
        <v>12765.991322601818</v>
      </c>
      <c r="L26" s="191">
        <f>Assumptions!P30*('Income Statement'!L13+'Income Statement'!L14)</f>
        <v>13462.154647250327</v>
      </c>
    </row>
    <row r="27" spans="2:12" ht="15" customHeight="1" x14ac:dyDescent="0.2">
      <c r="B27" s="11" t="s">
        <v>175</v>
      </c>
      <c r="C27" s="222">
        <v>3378</v>
      </c>
      <c r="D27" s="222">
        <v>5164</v>
      </c>
      <c r="E27" s="222">
        <v>3619</v>
      </c>
      <c r="F27" s="222">
        <v>4068</v>
      </c>
      <c r="G27" s="238">
        <v>5135</v>
      </c>
      <c r="H27" s="222">
        <v>5135</v>
      </c>
      <c r="I27" s="222">
        <v>5135</v>
      </c>
      <c r="J27" s="222">
        <v>5135</v>
      </c>
      <c r="K27" s="222">
        <v>5135</v>
      </c>
      <c r="L27" s="238">
        <v>5135</v>
      </c>
    </row>
    <row r="28" spans="2:12" ht="15" customHeight="1" x14ac:dyDescent="0.2">
      <c r="B28" s="3" t="s">
        <v>176</v>
      </c>
      <c r="C28" s="222">
        <v>2245</v>
      </c>
      <c r="D28" s="222">
        <v>0</v>
      </c>
      <c r="E28" s="222">
        <v>0</v>
      </c>
      <c r="F28" s="222">
        <v>0</v>
      </c>
      <c r="G28" s="222">
        <v>0</v>
      </c>
      <c r="H28" s="84"/>
      <c r="I28" s="176"/>
      <c r="J28" s="176"/>
      <c r="K28" s="176"/>
      <c r="L28" s="85"/>
    </row>
    <row r="29" spans="2:12" ht="15" customHeight="1" x14ac:dyDescent="0.2">
      <c r="B29" s="11" t="s">
        <v>177</v>
      </c>
      <c r="C29" s="223">
        <v>856</v>
      </c>
      <c r="D29" s="223">
        <v>780</v>
      </c>
      <c r="E29" s="223">
        <v>825</v>
      </c>
      <c r="F29" s="222">
        <v>1222</v>
      </c>
      <c r="G29" s="222">
        <v>1533</v>
      </c>
      <c r="H29" s="88">
        <f>Assumptions!L31*'Income Statement'!H11</f>
        <v>1823.233172</v>
      </c>
      <c r="I29" s="189">
        <f>Assumptions!M31*'Income Statement'!I11</f>
        <v>2480.4517406220002</v>
      </c>
      <c r="J29" s="189">
        <f>Assumptions!N31*'Income Statement'!J11</f>
        <v>2784.439533458205</v>
      </c>
      <c r="K29" s="189">
        <f>Assumptions!O31*'Income Statement'!K11</f>
        <v>3187.4431326724966</v>
      </c>
      <c r="L29" s="191">
        <f>Assumptions!P31*'Income Statement'!L11</f>
        <v>3577.8312396891533</v>
      </c>
    </row>
    <row r="30" spans="2:12" ht="15" customHeight="1" x14ac:dyDescent="0.2">
      <c r="B30" s="11" t="s">
        <v>178</v>
      </c>
      <c r="C30" s="222">
        <v>3425</v>
      </c>
      <c r="D30" s="222">
        <v>3512</v>
      </c>
      <c r="E30" s="222">
        <v>3555</v>
      </c>
      <c r="F30" s="222">
        <v>3281</v>
      </c>
      <c r="G30" s="222">
        <v>3814</v>
      </c>
      <c r="H30" s="88">
        <f>Assumptions!L32*'Income Statement'!H11</f>
        <v>4203.8277799999996</v>
      </c>
      <c r="I30" s="189">
        <f>Assumptions!M32*'Income Statement'!I11</f>
        <v>4285.333291725</v>
      </c>
      <c r="J30" s="189">
        <f>Assumptions!N32*'Income Statement'!J11</f>
        <v>4470.0389445171941</v>
      </c>
      <c r="K30" s="189">
        <f>Assumptions!O32*'Income Statement'!K11</f>
        <v>4820.5853737944472</v>
      </c>
      <c r="L30" s="191">
        <f>Assumptions!P32*'Income Statement'!L11</f>
        <v>5134.960450317988</v>
      </c>
    </row>
    <row r="31" spans="2:12" ht="15" customHeight="1" x14ac:dyDescent="0.2">
      <c r="B31" s="11" t="s">
        <v>179</v>
      </c>
      <c r="C31" s="222">
        <v>1120</v>
      </c>
      <c r="D31" s="222">
        <v>1161</v>
      </c>
      <c r="E31" s="222">
        <v>1260</v>
      </c>
      <c r="F31" s="222">
        <v>1175</v>
      </c>
      <c r="G31" s="222">
        <v>1163</v>
      </c>
      <c r="H31" s="88">
        <f>Assumptions!L33*'Income Statement'!H11</f>
        <v>1331.9993639999998</v>
      </c>
      <c r="I31" s="189">
        <f>Assumptions!M33*'Income Statement'!I11</f>
        <v>1532.6368478639999</v>
      </c>
      <c r="J31" s="189">
        <f>Assumptions!N33*'Income Statement'!J11</f>
        <v>1685.59941105899</v>
      </c>
      <c r="K31" s="189">
        <f>Assumptions!O33*'Income Statement'!K11</f>
        <v>1655.6683409994946</v>
      </c>
      <c r="L31" s="191">
        <f>Assumptions!P33*'Income Statement'!L11</f>
        <v>1652.2210708199082</v>
      </c>
    </row>
    <row r="32" spans="2:12" x14ac:dyDescent="0.2">
      <c r="B32" s="11" t="s">
        <v>180</v>
      </c>
      <c r="C32" s="222">
        <v>1070</v>
      </c>
      <c r="D32" s="222">
        <v>1850</v>
      </c>
      <c r="E32" s="222">
        <v>1296</v>
      </c>
      <c r="F32" s="222">
        <v>1965</v>
      </c>
      <c r="G32" s="222">
        <v>2575</v>
      </c>
      <c r="H32" s="88">
        <f>Assumptions!L34*'Income Statement'!H11</f>
        <v>2881.2752199999995</v>
      </c>
      <c r="I32" s="189">
        <f>Assumptions!M34*'Income Statement'!I11</f>
        <v>3236.6870273969998</v>
      </c>
      <c r="J32" s="189">
        <f>Assumptions!N34*'Income Statement'!J11</f>
        <v>3360.5304714150748</v>
      </c>
      <c r="K32" s="189">
        <f>Assumptions!O34*'Income Statement'!K11</f>
        <v>3705.5434298560117</v>
      </c>
      <c r="L32" s="191">
        <f>Assumptions!P34*'Income Statement'!L11</f>
        <v>3958.1986804534495</v>
      </c>
    </row>
    <row r="33" spans="2:12" ht="15" customHeight="1" x14ac:dyDescent="0.2">
      <c r="B33" s="15" t="s">
        <v>181</v>
      </c>
      <c r="C33" s="5">
        <v>23499</v>
      </c>
      <c r="D33" s="5">
        <v>24742</v>
      </c>
      <c r="E33" s="5">
        <v>20928</v>
      </c>
      <c r="F33" s="5">
        <v>20174</v>
      </c>
      <c r="G33" s="5">
        <v>24500</v>
      </c>
      <c r="H33" s="90">
        <f>SUM(H26:H32)</f>
        <v>26109.266580999996</v>
      </c>
      <c r="I33" s="190">
        <f>SUM(I26:I32)</f>
        <v>27105.752539616718</v>
      </c>
      <c r="J33" s="190">
        <f>SUM(J26:J32)</f>
        <v>29277.477640674009</v>
      </c>
      <c r="K33" s="190">
        <f>SUM(K26:K32)</f>
        <v>31270.231599924267</v>
      </c>
      <c r="L33" s="192">
        <f>SUM(L26:L32)</f>
        <v>32920.36608853082</v>
      </c>
    </row>
    <row r="34" spans="2:12" ht="15" customHeight="1" x14ac:dyDescent="0.2">
      <c r="B34" s="15"/>
      <c r="C34" s="177"/>
      <c r="D34" s="177"/>
      <c r="E34" s="177"/>
      <c r="F34" s="177"/>
      <c r="G34" s="215"/>
      <c r="H34" s="218"/>
      <c r="I34" s="218"/>
      <c r="J34" s="218"/>
      <c r="K34" s="218"/>
      <c r="L34" s="219"/>
    </row>
    <row r="35" spans="2:12" ht="15" customHeight="1" x14ac:dyDescent="0.2">
      <c r="B35" s="11" t="s">
        <v>182</v>
      </c>
      <c r="C35" s="222">
        <v>67076</v>
      </c>
      <c r="D35" s="222">
        <v>66796</v>
      </c>
      <c r="E35" s="222">
        <v>71399</v>
      </c>
      <c r="F35" s="222">
        <v>74197</v>
      </c>
      <c r="G35" s="238"/>
      <c r="H35" s="222"/>
      <c r="I35" s="222"/>
      <c r="J35" s="222"/>
      <c r="K35" s="222"/>
      <c r="L35" s="238"/>
    </row>
    <row r="36" spans="2:12" ht="15" customHeight="1" x14ac:dyDescent="0.2">
      <c r="B36" s="11" t="s">
        <v>183</v>
      </c>
      <c r="C36" s="222"/>
      <c r="D36" s="222"/>
      <c r="E36" s="222"/>
      <c r="F36" s="222"/>
      <c r="G36" s="238">
        <v>1000</v>
      </c>
      <c r="H36" s="222">
        <f>'Debt Schedule'!D8</f>
        <v>0</v>
      </c>
      <c r="I36" s="222">
        <f>'Debt Schedule'!E8</f>
        <v>0</v>
      </c>
      <c r="J36" s="222">
        <f>'Debt Schedule'!F8</f>
        <v>0</v>
      </c>
      <c r="K36" s="222">
        <f>'Debt Schedule'!G8</f>
        <v>0</v>
      </c>
      <c r="L36" s="238">
        <f>'Debt Schedule'!H8</f>
        <v>0</v>
      </c>
    </row>
    <row r="37" spans="2:12" ht="15" customHeight="1" x14ac:dyDescent="0.2">
      <c r="B37" s="11" t="s">
        <v>184</v>
      </c>
      <c r="C37" s="222"/>
      <c r="D37" s="222"/>
      <c r="E37" s="222"/>
      <c r="F37" s="222"/>
      <c r="G37" s="238">
        <v>1800</v>
      </c>
      <c r="H37" s="222">
        <f>'Debt Schedule'!D15</f>
        <v>0</v>
      </c>
      <c r="I37" s="222">
        <f>'Debt Schedule'!E15</f>
        <v>0</v>
      </c>
      <c r="J37" s="222">
        <f>'Debt Schedule'!F15</f>
        <v>0</v>
      </c>
      <c r="K37" s="222">
        <f>'Debt Schedule'!G15</f>
        <v>0</v>
      </c>
      <c r="L37" s="238">
        <f>'Debt Schedule'!H15</f>
        <v>0</v>
      </c>
    </row>
    <row r="38" spans="2:12" ht="15" customHeight="1" x14ac:dyDescent="0.2">
      <c r="B38" s="11" t="s">
        <v>184</v>
      </c>
      <c r="C38" s="222"/>
      <c r="D38" s="222"/>
      <c r="E38" s="222"/>
      <c r="F38" s="222"/>
      <c r="G38" s="238">
        <v>1200</v>
      </c>
      <c r="H38" s="222">
        <f>'Debt Schedule'!D22</f>
        <v>0</v>
      </c>
      <c r="I38" s="222">
        <f>'Debt Schedule'!E22</f>
        <v>0</v>
      </c>
      <c r="J38" s="222">
        <f>'Debt Schedule'!F22</f>
        <v>0</v>
      </c>
      <c r="K38" s="222">
        <f>'Debt Schedule'!G22</f>
        <v>0</v>
      </c>
      <c r="L38" s="238">
        <f>'Debt Schedule'!H22</f>
        <v>0</v>
      </c>
    </row>
    <row r="39" spans="2:12" ht="15" customHeight="1" x14ac:dyDescent="0.2">
      <c r="B39" s="11" t="s">
        <v>185</v>
      </c>
      <c r="C39" s="222"/>
      <c r="D39" s="222"/>
      <c r="E39" s="222"/>
      <c r="F39" s="222"/>
      <c r="G39" s="238">
        <v>4000</v>
      </c>
      <c r="H39" s="222">
        <f>'Debt Schedule'!D32</f>
        <v>4000</v>
      </c>
      <c r="I39" s="222">
        <f>'Debt Schedule'!E31</f>
        <v>4000</v>
      </c>
      <c r="J39" s="222">
        <f>'Debt Schedule'!F31</f>
        <v>0</v>
      </c>
      <c r="K39" s="222">
        <f>'Debt Schedule'!G31</f>
        <v>0</v>
      </c>
      <c r="L39" s="238">
        <f>'Debt Schedule'!H31</f>
        <v>0</v>
      </c>
    </row>
    <row r="40" spans="2:12" ht="15" customHeight="1" x14ac:dyDescent="0.2">
      <c r="B40" s="11" t="s">
        <v>186</v>
      </c>
      <c r="C40" s="222"/>
      <c r="D40" s="222"/>
      <c r="E40" s="222"/>
      <c r="F40" s="222"/>
      <c r="G40" s="238">
        <v>1750</v>
      </c>
      <c r="H40" s="222">
        <f>'Debt Schedule'!D42</f>
        <v>1750</v>
      </c>
      <c r="I40" s="222">
        <f>'Debt Schedule'!E42</f>
        <v>1750</v>
      </c>
      <c r="J40" s="222">
        <f>'Debt Schedule'!F42</f>
        <v>0</v>
      </c>
      <c r="K40" s="222">
        <f>'Debt Schedule'!G42</f>
        <v>0</v>
      </c>
      <c r="L40" s="238">
        <f>'Debt Schedule'!H42</f>
        <v>0</v>
      </c>
    </row>
    <row r="41" spans="2:12" ht="15" customHeight="1" x14ac:dyDescent="0.2">
      <c r="B41" s="11" t="s">
        <v>187</v>
      </c>
      <c r="C41" s="222"/>
      <c r="D41" s="222"/>
      <c r="E41" s="222"/>
      <c r="F41" s="222"/>
      <c r="G41" s="238">
        <v>1500</v>
      </c>
      <c r="H41" s="222">
        <f>'Debt Schedule'!D52</f>
        <v>1500</v>
      </c>
      <c r="I41" s="222">
        <f>'Debt Schedule'!E52</f>
        <v>1500</v>
      </c>
      <c r="J41" s="222">
        <f>'Debt Schedule'!F52</f>
        <v>0</v>
      </c>
      <c r="K41" s="222">
        <f>'Debt Schedule'!G52</f>
        <v>0</v>
      </c>
      <c r="L41" s="238">
        <f>'Debt Schedule'!H52</f>
        <v>0</v>
      </c>
    </row>
    <row r="42" spans="2:12" ht="15" customHeight="1" x14ac:dyDescent="0.2">
      <c r="B42" s="11" t="s">
        <v>188</v>
      </c>
      <c r="C42" s="222"/>
      <c r="D42" s="222"/>
      <c r="E42" s="222"/>
      <c r="F42" s="222"/>
      <c r="G42" s="238">
        <v>1500</v>
      </c>
      <c r="H42" s="222">
        <f>'Debt Schedule'!D62</f>
        <v>1500</v>
      </c>
      <c r="I42" s="222">
        <f>'Debt Schedule'!E62</f>
        <v>1500</v>
      </c>
      <c r="J42" s="222">
        <f>'Debt Schedule'!F62</f>
        <v>0</v>
      </c>
      <c r="K42" s="222">
        <f>'Debt Schedule'!G62</f>
        <v>0</v>
      </c>
      <c r="L42" s="238">
        <f>'Debt Schedule'!H62</f>
        <v>0</v>
      </c>
    </row>
    <row r="43" spans="2:12" ht="15" customHeight="1" x14ac:dyDescent="0.2">
      <c r="B43" s="11" t="s">
        <v>186</v>
      </c>
      <c r="C43" s="222"/>
      <c r="D43" s="222"/>
      <c r="E43" s="222"/>
      <c r="F43" s="222"/>
      <c r="G43" s="238">
        <v>900</v>
      </c>
      <c r="H43" s="222">
        <f>'Debt Schedule'!D72</f>
        <v>900</v>
      </c>
      <c r="I43" s="222">
        <f>'Debt Schedule'!E72</f>
        <v>900</v>
      </c>
      <c r="J43" s="222">
        <f>'Debt Schedule'!F72</f>
        <v>0</v>
      </c>
      <c r="K43" s="222">
        <f>'Debt Schedule'!G72</f>
        <v>0</v>
      </c>
      <c r="L43" s="238">
        <f>'Debt Schedule'!H72</f>
        <v>0</v>
      </c>
    </row>
    <row r="44" spans="2:12" ht="15" customHeight="1" x14ac:dyDescent="0.2">
      <c r="B44" s="11" t="s">
        <v>187</v>
      </c>
      <c r="C44" s="222"/>
      <c r="D44" s="222"/>
      <c r="E44" s="222"/>
      <c r="F44" s="222"/>
      <c r="G44" s="238">
        <v>1000</v>
      </c>
      <c r="H44" s="222">
        <f>'Debt Schedule'!D82</f>
        <v>1000</v>
      </c>
      <c r="I44" s="222">
        <f>'Debt Schedule'!E82</f>
        <v>1000</v>
      </c>
      <c r="J44" s="222">
        <f>'Debt Schedule'!F82</f>
        <v>0</v>
      </c>
      <c r="K44" s="222">
        <f>'Debt Schedule'!G82</f>
        <v>0</v>
      </c>
      <c r="L44" s="238">
        <f>'Debt Schedule'!H82</f>
        <v>0</v>
      </c>
    </row>
    <row r="45" spans="2:12" ht="15" customHeight="1" x14ac:dyDescent="0.2">
      <c r="B45" s="11" t="s">
        <v>189</v>
      </c>
      <c r="C45" s="222"/>
      <c r="D45" s="222"/>
      <c r="E45" s="222"/>
      <c r="F45" s="222"/>
      <c r="G45" s="238">
        <v>827</v>
      </c>
      <c r="H45" s="222">
        <f>'Debt Schedule'!D92</f>
        <v>827</v>
      </c>
      <c r="I45" s="222">
        <f>'Debt Schedule'!E92</f>
        <v>827</v>
      </c>
      <c r="J45" s="222">
        <f>'Debt Schedule'!F92</f>
        <v>0</v>
      </c>
      <c r="K45" s="222">
        <f>'Debt Schedule'!G92</f>
        <v>0</v>
      </c>
      <c r="L45" s="238">
        <f>'Debt Schedule'!H92</f>
        <v>0</v>
      </c>
    </row>
    <row r="46" spans="2:12" ht="15" customHeight="1" x14ac:dyDescent="0.2">
      <c r="B46" s="11" t="s">
        <v>187</v>
      </c>
      <c r="C46" s="222"/>
      <c r="D46" s="222"/>
      <c r="E46" s="222"/>
      <c r="F46" s="222"/>
      <c r="G46" s="238">
        <v>2475</v>
      </c>
      <c r="H46" s="222">
        <f>'Debt Schedule'!D102</f>
        <v>2475</v>
      </c>
      <c r="I46" s="222">
        <f>'Debt Schedule'!E102</f>
        <v>2475</v>
      </c>
      <c r="J46" s="222">
        <f>'Debt Schedule'!F102</f>
        <v>0</v>
      </c>
      <c r="K46" s="222">
        <f>'Debt Schedule'!G102</f>
        <v>0</v>
      </c>
      <c r="L46" s="238">
        <f>'Debt Schedule'!H102</f>
        <v>0</v>
      </c>
    </row>
    <row r="47" spans="2:12" ht="15" customHeight="1" x14ac:dyDescent="0.2">
      <c r="B47" s="11" t="s">
        <v>190</v>
      </c>
      <c r="C47" s="222"/>
      <c r="D47" s="222"/>
      <c r="E47" s="222"/>
      <c r="F47" s="222"/>
      <c r="G47" s="238">
        <v>500</v>
      </c>
      <c r="H47" s="222">
        <f>'Debt Schedule'!D112</f>
        <v>500</v>
      </c>
      <c r="I47" s="222">
        <f>'Debt Schedule'!E112</f>
        <v>500</v>
      </c>
      <c r="J47" s="222">
        <f>'Debt Schedule'!F112</f>
        <v>500</v>
      </c>
      <c r="K47" s="222">
        <f>'Debt Schedule'!G112</f>
        <v>0</v>
      </c>
      <c r="L47" s="238">
        <f>'Debt Schedule'!H112</f>
        <v>0</v>
      </c>
    </row>
    <row r="48" spans="2:12" ht="15" customHeight="1" x14ac:dyDescent="0.2">
      <c r="B48" s="11" t="s">
        <v>190</v>
      </c>
      <c r="C48" s="222"/>
      <c r="D48" s="222"/>
      <c r="E48" s="222"/>
      <c r="F48" s="222"/>
      <c r="G48" s="238">
        <v>1000</v>
      </c>
      <c r="H48" s="222">
        <f>'Debt Schedule'!D122</f>
        <v>1000</v>
      </c>
      <c r="I48" s="222">
        <f>'Debt Schedule'!E122</f>
        <v>1000</v>
      </c>
      <c r="J48" s="222">
        <f>'Debt Schedule'!F122</f>
        <v>1000</v>
      </c>
      <c r="K48" s="222">
        <f>'Debt Schedule'!G122</f>
        <v>0</v>
      </c>
      <c r="L48" s="238">
        <f>'Debt Schedule'!H122</f>
        <v>0</v>
      </c>
    </row>
    <row r="49" spans="2:12" ht="15" customHeight="1" x14ac:dyDescent="0.2">
      <c r="B49" s="11" t="s">
        <v>190</v>
      </c>
      <c r="C49" s="222"/>
      <c r="D49" s="222"/>
      <c r="E49" s="222"/>
      <c r="F49" s="222"/>
      <c r="G49" s="238">
        <v>2350</v>
      </c>
      <c r="H49" s="222">
        <f>'Debt Schedule'!D132</f>
        <v>2350</v>
      </c>
      <c r="I49" s="222">
        <f>'Debt Schedule'!E132</f>
        <v>2350</v>
      </c>
      <c r="J49" s="222">
        <f>'Debt Schedule'!F132</f>
        <v>2350</v>
      </c>
      <c r="K49" s="222">
        <f>'Debt Schedule'!G132</f>
        <v>0</v>
      </c>
      <c r="L49" s="238">
        <f>'Debt Schedule'!H132</f>
        <v>0</v>
      </c>
    </row>
    <row r="50" spans="2:12" ht="15" customHeight="1" x14ac:dyDescent="0.2">
      <c r="B50" s="11" t="s">
        <v>191</v>
      </c>
      <c r="C50" s="222"/>
      <c r="D50" s="222"/>
      <c r="E50" s="222"/>
      <c r="F50" s="222"/>
      <c r="G50" s="238">
        <v>705</v>
      </c>
      <c r="H50" s="222">
        <f>'Debt Schedule'!D142</f>
        <v>705</v>
      </c>
      <c r="I50" s="222">
        <f>'Debt Schedule'!E142</f>
        <v>705</v>
      </c>
      <c r="J50" s="222">
        <f>'Debt Schedule'!F142</f>
        <v>705</v>
      </c>
      <c r="K50" s="222">
        <f>'Debt Schedule'!G142</f>
        <v>0</v>
      </c>
      <c r="L50" s="238">
        <f>'Debt Schedule'!H142</f>
        <v>0</v>
      </c>
    </row>
    <row r="51" spans="2:12" ht="15" customHeight="1" x14ac:dyDescent="0.2">
      <c r="B51" s="11" t="s">
        <v>192</v>
      </c>
      <c r="C51" s="222"/>
      <c r="D51" s="222"/>
      <c r="E51" s="222"/>
      <c r="F51" s="222"/>
      <c r="G51" s="238">
        <v>700</v>
      </c>
      <c r="H51" s="222">
        <f>'Debt Schedule'!D152</f>
        <v>700</v>
      </c>
      <c r="I51" s="222">
        <f>'Debt Schedule'!E152</f>
        <v>700</v>
      </c>
      <c r="J51" s="222">
        <f>'Debt Schedule'!F152</f>
        <v>700</v>
      </c>
      <c r="K51" s="222">
        <f>'Debt Schedule'!G152</f>
        <v>0</v>
      </c>
      <c r="L51" s="238">
        <f>'Debt Schedule'!H152</f>
        <v>0</v>
      </c>
    </row>
    <row r="52" spans="2:12" ht="15" customHeight="1" x14ac:dyDescent="0.2">
      <c r="B52" s="11" t="s">
        <v>193</v>
      </c>
      <c r="C52" s="222"/>
      <c r="D52" s="222"/>
      <c r="E52" s="222"/>
      <c r="F52" s="222"/>
      <c r="G52" s="238">
        <v>500</v>
      </c>
      <c r="H52" s="222">
        <f>'Debt Schedule'!D162</f>
        <v>500</v>
      </c>
      <c r="I52" s="222">
        <f>'Debt Schedule'!E162</f>
        <v>500</v>
      </c>
      <c r="J52" s="222">
        <f>'Debt Schedule'!F162</f>
        <v>500</v>
      </c>
      <c r="K52" s="222">
        <f>'Debt Schedule'!G162</f>
        <v>0</v>
      </c>
      <c r="L52" s="238">
        <f>'Debt Schedule'!H162</f>
        <v>0</v>
      </c>
    </row>
    <row r="53" spans="2:12" ht="15" customHeight="1" x14ac:dyDescent="0.2">
      <c r="B53" s="11" t="s">
        <v>193</v>
      </c>
      <c r="C53" s="222"/>
      <c r="D53" s="222"/>
      <c r="E53" s="222"/>
      <c r="F53" s="222"/>
      <c r="G53" s="238">
        <v>500</v>
      </c>
      <c r="H53" s="222">
        <f>'Debt Schedule'!D172</f>
        <v>500</v>
      </c>
      <c r="I53" s="222">
        <f>'Debt Schedule'!E172</f>
        <v>500</v>
      </c>
      <c r="J53" s="222">
        <f>'Debt Schedule'!F172</f>
        <v>500</v>
      </c>
      <c r="K53" s="222">
        <f>'Debt Schedule'!G172</f>
        <v>0</v>
      </c>
      <c r="L53" s="238">
        <f>'Debt Schedule'!H172</f>
        <v>0</v>
      </c>
    </row>
    <row r="54" spans="2:12" ht="15" customHeight="1" x14ac:dyDescent="0.2">
      <c r="B54" s="11" t="s">
        <v>194</v>
      </c>
      <c r="C54" s="222"/>
      <c r="D54" s="222"/>
      <c r="E54" s="222"/>
      <c r="F54" s="222"/>
      <c r="G54" s="238">
        <v>1000</v>
      </c>
      <c r="H54" s="222">
        <f>'Debt Schedule'!D182</f>
        <v>1000</v>
      </c>
      <c r="I54" s="222">
        <f>'Debt Schedule'!E182</f>
        <v>1000</v>
      </c>
      <c r="J54" s="222">
        <f>'Debt Schedule'!F182</f>
        <v>1000</v>
      </c>
      <c r="K54" s="222">
        <f>'Debt Schedule'!G182</f>
        <v>0</v>
      </c>
      <c r="L54" s="238">
        <f>'Debt Schedule'!H182</f>
        <v>0</v>
      </c>
    </row>
    <row r="55" spans="2:12" ht="15" customHeight="1" x14ac:dyDescent="0.2">
      <c r="B55" s="11" t="s">
        <v>193</v>
      </c>
      <c r="C55" s="222"/>
      <c r="D55" s="222"/>
      <c r="E55" s="222"/>
      <c r="F55" s="222"/>
      <c r="G55" s="238">
        <v>500</v>
      </c>
      <c r="H55" s="222">
        <f>'Debt Schedule'!D192</f>
        <v>500</v>
      </c>
      <c r="I55" s="222">
        <f>'Debt Schedule'!E192</f>
        <v>500</v>
      </c>
      <c r="J55" s="222">
        <f>'Debt Schedule'!F192</f>
        <v>500</v>
      </c>
      <c r="K55" s="222">
        <f>'Debt Schedule'!G192</f>
        <v>0</v>
      </c>
      <c r="L55" s="238">
        <f>'Debt Schedule'!H192</f>
        <v>0</v>
      </c>
    </row>
    <row r="56" spans="2:12" ht="15" customHeight="1" x14ac:dyDescent="0.2">
      <c r="B56" s="11" t="s">
        <v>195</v>
      </c>
      <c r="C56" s="222"/>
      <c r="D56" s="222"/>
      <c r="E56" s="222"/>
      <c r="F56" s="222"/>
      <c r="G56" s="238">
        <v>7000</v>
      </c>
      <c r="H56" s="222">
        <f>'Debt Schedule'!D202</f>
        <v>7000</v>
      </c>
      <c r="I56" s="222">
        <f>'Debt Schedule'!E202</f>
        <v>7000</v>
      </c>
      <c r="J56" s="222">
        <f>'Debt Schedule'!F202</f>
        <v>7000</v>
      </c>
      <c r="K56" s="222">
        <f>'Debt Schedule'!G202</f>
        <v>7000</v>
      </c>
      <c r="L56" s="238">
        <f>'Debt Schedule'!H202</f>
        <v>0</v>
      </c>
    </row>
    <row r="57" spans="2:12" ht="15" customHeight="1" x14ac:dyDescent="0.2">
      <c r="B57" s="11" t="s">
        <v>196</v>
      </c>
      <c r="C57" s="222"/>
      <c r="D57" s="222"/>
      <c r="E57" s="222"/>
      <c r="F57" s="222"/>
      <c r="G57" s="238">
        <v>500</v>
      </c>
      <c r="H57" s="222">
        <f>'Debt Schedule'!D212</f>
        <v>500</v>
      </c>
      <c r="I57" s="222">
        <f>'Debt Schedule'!E212</f>
        <v>500</v>
      </c>
      <c r="J57" s="222">
        <f>'Debt Schedule'!F212</f>
        <v>500</v>
      </c>
      <c r="K57" s="222">
        <f>'Debt Schedule'!G212</f>
        <v>500</v>
      </c>
      <c r="L57" s="238">
        <f>'Debt Schedule'!H212</f>
        <v>0</v>
      </c>
    </row>
    <row r="58" spans="2:12" ht="15" customHeight="1" x14ac:dyDescent="0.2">
      <c r="B58" s="11" t="s">
        <v>197</v>
      </c>
      <c r="C58" s="222"/>
      <c r="D58" s="222"/>
      <c r="E58" s="222"/>
      <c r="F58" s="222"/>
      <c r="G58" s="238">
        <v>1000</v>
      </c>
      <c r="H58" s="222">
        <f>'Debt Schedule'!D222</f>
        <v>1000</v>
      </c>
      <c r="I58" s="222">
        <f>'Debt Schedule'!E222</f>
        <v>1000</v>
      </c>
      <c r="J58" s="222">
        <f>'Debt Schedule'!F222</f>
        <v>1000</v>
      </c>
      <c r="K58" s="222">
        <f>'Debt Schedule'!G222</f>
        <v>1000</v>
      </c>
      <c r="L58" s="238">
        <f>'Debt Schedule'!H222</f>
        <v>1000</v>
      </c>
    </row>
    <row r="59" spans="2:12" ht="15" customHeight="1" x14ac:dyDescent="0.2">
      <c r="B59" s="11" t="s">
        <v>197</v>
      </c>
      <c r="C59" s="222"/>
      <c r="D59" s="222"/>
      <c r="E59" s="222"/>
      <c r="F59" s="222"/>
      <c r="G59" s="238">
        <v>2500</v>
      </c>
      <c r="H59" s="222">
        <f>'Debt Schedule'!D232</f>
        <v>2500</v>
      </c>
      <c r="I59" s="222">
        <f>'Debt Schedule'!E232</f>
        <v>2500</v>
      </c>
      <c r="J59" s="222">
        <f>'Debt Schedule'!F232</f>
        <v>2500</v>
      </c>
      <c r="K59" s="222">
        <f>'Debt Schedule'!G232</f>
        <v>2500</v>
      </c>
      <c r="L59" s="238">
        <f>'Debt Schedule'!H232</f>
        <v>2500</v>
      </c>
    </row>
    <row r="60" spans="2:12" ht="15" customHeight="1" x14ac:dyDescent="0.2">
      <c r="B60" s="11" t="s">
        <v>197</v>
      </c>
      <c r="C60" s="222"/>
      <c r="D60" s="222"/>
      <c r="E60" s="222"/>
      <c r="F60" s="222"/>
      <c r="G60" s="238">
        <v>1000</v>
      </c>
      <c r="H60" s="222">
        <f>'Debt Schedule'!D242</f>
        <v>1000</v>
      </c>
      <c r="I60" s="222">
        <f>'Debt Schedule'!E242</f>
        <v>1000</v>
      </c>
      <c r="J60" s="222">
        <f>'Debt Schedule'!F242</f>
        <v>1000</v>
      </c>
      <c r="K60" s="222">
        <f>'Debt Schedule'!G242</f>
        <v>1000</v>
      </c>
      <c r="L60" s="238">
        <f>'Debt Schedule'!H242</f>
        <v>1000</v>
      </c>
    </row>
    <row r="61" spans="2:12" ht="15" customHeight="1" x14ac:dyDescent="0.2">
      <c r="B61" s="11" t="s">
        <v>197</v>
      </c>
      <c r="C61" s="222"/>
      <c r="D61" s="222"/>
      <c r="E61" s="222"/>
      <c r="F61" s="222"/>
      <c r="G61" s="238">
        <v>2450</v>
      </c>
      <c r="H61" s="222">
        <f>'Debt Schedule'!D252</f>
        <v>2450</v>
      </c>
      <c r="I61" s="222">
        <f>'Debt Schedule'!E252</f>
        <v>2450</v>
      </c>
      <c r="J61" s="222">
        <f>'Debt Schedule'!F252</f>
        <v>2450</v>
      </c>
      <c r="K61" s="222">
        <f>'Debt Schedule'!G252</f>
        <v>2450</v>
      </c>
      <c r="L61" s="238">
        <f>'Debt Schedule'!H252</f>
        <v>2450</v>
      </c>
    </row>
    <row r="62" spans="2:12" ht="15" customHeight="1" x14ac:dyDescent="0.2">
      <c r="B62" s="11" t="s">
        <v>198</v>
      </c>
      <c r="C62" s="222"/>
      <c r="D62" s="222"/>
      <c r="E62" s="222"/>
      <c r="F62" s="222"/>
      <c r="G62" s="238">
        <v>1000</v>
      </c>
      <c r="H62" s="222">
        <f>'Debt Schedule'!D262</f>
        <v>1000</v>
      </c>
      <c r="I62" s="222">
        <f>'Debt Schedule'!E262</f>
        <v>1000</v>
      </c>
      <c r="J62" s="222">
        <f>'Debt Schedule'!F262</f>
        <v>1000</v>
      </c>
      <c r="K62" s="222">
        <f>'Debt Schedule'!G262</f>
        <v>1000</v>
      </c>
      <c r="L62" s="238">
        <f>'Debt Schedule'!H262</f>
        <v>1000</v>
      </c>
    </row>
    <row r="63" spans="2:12" ht="15" customHeight="1" x14ac:dyDescent="0.2">
      <c r="B63" s="11" t="s">
        <v>199</v>
      </c>
      <c r="C63" s="222"/>
      <c r="D63" s="222"/>
      <c r="E63" s="222"/>
      <c r="F63" s="222"/>
      <c r="G63" s="238">
        <v>1175</v>
      </c>
      <c r="H63" s="222">
        <f>'Debt Schedule'!D272</f>
        <v>1175</v>
      </c>
      <c r="I63" s="222">
        <f>'Debt Schedule'!E272</f>
        <v>1175</v>
      </c>
      <c r="J63" s="222">
        <f>'Debt Schedule'!F272</f>
        <v>1175</v>
      </c>
      <c r="K63" s="222">
        <f>'Debt Schedule'!G272</f>
        <v>1175</v>
      </c>
      <c r="L63" s="238">
        <f>'Debt Schedule'!H272</f>
        <v>1175</v>
      </c>
    </row>
    <row r="64" spans="2:12" ht="15" customHeight="1" x14ac:dyDescent="0.2">
      <c r="B64" s="11" t="s">
        <v>199</v>
      </c>
      <c r="C64" s="222"/>
      <c r="D64" s="222"/>
      <c r="E64" s="222"/>
      <c r="F64" s="222"/>
      <c r="G64" s="238">
        <v>881</v>
      </c>
      <c r="H64" s="222">
        <f>'Debt Schedule'!D282</f>
        <v>881</v>
      </c>
      <c r="I64" s="222">
        <f>'Debt Schedule'!E282</f>
        <v>881</v>
      </c>
      <c r="J64" s="222">
        <f>'Debt Schedule'!F282</f>
        <v>881</v>
      </c>
      <c r="K64" s="222">
        <f>'Debt Schedule'!G282</f>
        <v>881</v>
      </c>
      <c r="L64" s="238">
        <f>'Debt Schedule'!H282</f>
        <v>881</v>
      </c>
    </row>
    <row r="65" spans="2:12" ht="15" customHeight="1" x14ac:dyDescent="0.2">
      <c r="B65" s="11" t="s">
        <v>200</v>
      </c>
      <c r="C65" s="222"/>
      <c r="D65" s="222"/>
      <c r="E65" s="222"/>
      <c r="F65" s="222"/>
      <c r="G65" s="238">
        <v>1250</v>
      </c>
      <c r="H65" s="222">
        <f>'Debt Schedule'!D292</f>
        <v>1250</v>
      </c>
      <c r="I65" s="222">
        <f>'Debt Schedule'!E292</f>
        <v>1250</v>
      </c>
      <c r="J65" s="222">
        <f>'Debt Schedule'!F292</f>
        <v>1250</v>
      </c>
      <c r="K65" s="222">
        <f>'Debt Schedule'!G292</f>
        <v>1250</v>
      </c>
      <c r="L65" s="238">
        <f>'Debt Schedule'!H292</f>
        <v>1250</v>
      </c>
    </row>
    <row r="66" spans="2:12" ht="15" customHeight="1" x14ac:dyDescent="0.2">
      <c r="B66" s="11" t="s">
        <v>201</v>
      </c>
      <c r="C66" s="222"/>
      <c r="D66" s="222"/>
      <c r="E66" s="222"/>
      <c r="F66" s="222"/>
      <c r="G66" s="238">
        <v>2000</v>
      </c>
      <c r="H66" s="222">
        <f>'Debt Schedule'!D302</f>
        <v>2000</v>
      </c>
      <c r="I66" s="222">
        <f>'Debt Schedule'!E302</f>
        <v>2000</v>
      </c>
      <c r="J66" s="222">
        <f>'Debt Schedule'!F302</f>
        <v>2000</v>
      </c>
      <c r="K66" s="222">
        <f>'Debt Schedule'!G302</f>
        <v>2000</v>
      </c>
      <c r="L66" s="238">
        <f>'Debt Schedule'!H302</f>
        <v>2000</v>
      </c>
    </row>
    <row r="67" spans="2:12" ht="15" customHeight="1" x14ac:dyDescent="0.2">
      <c r="B67" s="11" t="s">
        <v>202</v>
      </c>
      <c r="C67" s="222"/>
      <c r="D67" s="222"/>
      <c r="E67" s="222"/>
      <c r="F67" s="222"/>
      <c r="G67" s="238">
        <v>800</v>
      </c>
      <c r="H67" s="222">
        <f>'Debt Schedule'!D312</f>
        <v>800</v>
      </c>
      <c r="I67" s="222">
        <f>'Debt Schedule'!E312</f>
        <v>800</v>
      </c>
      <c r="J67" s="222">
        <f>'Debt Schedule'!F312</f>
        <v>800</v>
      </c>
      <c r="K67" s="222">
        <f>'Debt Schedule'!G312</f>
        <v>800</v>
      </c>
      <c r="L67" s="238">
        <f>'Debt Schedule'!H312</f>
        <v>800</v>
      </c>
    </row>
    <row r="68" spans="2:12" ht="15" customHeight="1" x14ac:dyDescent="0.2">
      <c r="B68" s="11" t="s">
        <v>202</v>
      </c>
      <c r="C68" s="222"/>
      <c r="D68" s="222"/>
      <c r="E68" s="222"/>
      <c r="F68" s="222"/>
      <c r="G68" s="238">
        <v>2600</v>
      </c>
      <c r="H68" s="222">
        <f>'Debt Schedule'!D322</f>
        <v>2600</v>
      </c>
      <c r="I68" s="222">
        <f>'Debt Schedule'!E322</f>
        <v>2600</v>
      </c>
      <c r="J68" s="222">
        <f>'Debt Schedule'!F322</f>
        <v>2600</v>
      </c>
      <c r="K68" s="222">
        <f>'Debt Schedule'!G322</f>
        <v>2600</v>
      </c>
      <c r="L68" s="238">
        <f>'Debt Schedule'!H322</f>
        <v>2600</v>
      </c>
    </row>
    <row r="69" spans="2:12" ht="15" customHeight="1" x14ac:dyDescent="0.2">
      <c r="B69" s="11" t="s">
        <v>202</v>
      </c>
      <c r="C69" s="222"/>
      <c r="D69" s="222"/>
      <c r="E69" s="222"/>
      <c r="F69" s="222"/>
      <c r="G69" s="238">
        <v>1250</v>
      </c>
      <c r="H69" s="222">
        <f>'Debt Schedule'!D332</f>
        <v>1250</v>
      </c>
      <c r="I69" s="222">
        <f>'Debt Schedule'!E332</f>
        <v>1250</v>
      </c>
      <c r="J69" s="222">
        <f>'Debt Schedule'!F332</f>
        <v>1250</v>
      </c>
      <c r="K69" s="222">
        <f>'Debt Schedule'!G332</f>
        <v>1250</v>
      </c>
      <c r="L69" s="238">
        <f>'Debt Schedule'!H332</f>
        <v>1250</v>
      </c>
    </row>
    <row r="70" spans="2:12" ht="15" customHeight="1" x14ac:dyDescent="0.2">
      <c r="B70" s="11" t="s">
        <v>202</v>
      </c>
      <c r="C70" s="222"/>
      <c r="D70" s="222"/>
      <c r="E70" s="222"/>
      <c r="F70" s="222"/>
      <c r="G70" s="238">
        <v>489</v>
      </c>
      <c r="H70" s="222">
        <f>'Debt Schedule'!D342</f>
        <v>489</v>
      </c>
      <c r="I70" s="222">
        <f>'Debt Schedule'!E342</f>
        <v>489</v>
      </c>
      <c r="J70" s="222">
        <f>'Debt Schedule'!F342</f>
        <v>489</v>
      </c>
      <c r="K70" s="222">
        <f>'Debt Schedule'!G342</f>
        <v>489</v>
      </c>
      <c r="L70" s="238">
        <f>'Debt Schedule'!H342</f>
        <v>489</v>
      </c>
    </row>
    <row r="71" spans="2:12" ht="15" customHeight="1" x14ac:dyDescent="0.2">
      <c r="B71" s="11" t="s">
        <v>203</v>
      </c>
      <c r="C71" s="222"/>
      <c r="D71" s="222"/>
      <c r="E71" s="222"/>
      <c r="F71" s="222"/>
      <c r="G71" s="238">
        <v>1250</v>
      </c>
      <c r="H71" s="222">
        <f>'Debt Schedule'!D352</f>
        <v>1250</v>
      </c>
      <c r="I71" s="222">
        <f>'Debt Schedule'!E352</f>
        <v>1250</v>
      </c>
      <c r="J71" s="222">
        <f>'Debt Schedule'!F352</f>
        <v>1250</v>
      </c>
      <c r="K71" s="222">
        <f>'Debt Schedule'!G352</f>
        <v>1250</v>
      </c>
      <c r="L71" s="238">
        <f>'Debt Schedule'!H352</f>
        <v>1250</v>
      </c>
    </row>
    <row r="72" spans="2:12" ht="15" customHeight="1" x14ac:dyDescent="0.2">
      <c r="B72" s="11" t="s">
        <v>203</v>
      </c>
      <c r="C72" s="222"/>
      <c r="D72" s="222"/>
      <c r="E72" s="222"/>
      <c r="F72" s="222"/>
      <c r="G72" s="238">
        <v>1000</v>
      </c>
      <c r="H72" s="222">
        <f>'Debt Schedule'!D362</f>
        <v>1000</v>
      </c>
      <c r="I72" s="222">
        <f>'Debt Schedule'!E362</f>
        <v>1000</v>
      </c>
      <c r="J72" s="222">
        <f>'Debt Schedule'!F362</f>
        <v>1000</v>
      </c>
      <c r="K72" s="222">
        <f>'Debt Schedule'!G362</f>
        <v>1000</v>
      </c>
      <c r="L72" s="238">
        <f>'Debt Schedule'!H362</f>
        <v>1000</v>
      </c>
    </row>
    <row r="73" spans="2:12" ht="15" customHeight="1" x14ac:dyDescent="0.2">
      <c r="B73" s="11" t="s">
        <v>204</v>
      </c>
      <c r="C73" s="222"/>
      <c r="D73" s="222"/>
      <c r="E73" s="222"/>
      <c r="F73" s="222"/>
      <c r="G73" s="238">
        <v>900</v>
      </c>
      <c r="H73" s="222">
        <f>'Debt Schedule'!D372</f>
        <v>900</v>
      </c>
      <c r="I73" s="222">
        <f>'Debt Schedule'!E372</f>
        <v>900</v>
      </c>
      <c r="J73" s="222">
        <f>'Debt Schedule'!F372</f>
        <v>900</v>
      </c>
      <c r="K73" s="222">
        <f>'Debt Schedule'!G372</f>
        <v>900</v>
      </c>
      <c r="L73" s="238">
        <f>'Debt Schedule'!H372</f>
        <v>900</v>
      </c>
    </row>
    <row r="74" spans="2:12" ht="15" customHeight="1" x14ac:dyDescent="0.2">
      <c r="B74" s="11" t="s">
        <v>204</v>
      </c>
      <c r="C74" s="222"/>
      <c r="D74" s="222"/>
      <c r="E74" s="222"/>
      <c r="F74" s="222"/>
      <c r="G74" s="238">
        <v>1000</v>
      </c>
      <c r="H74" s="222">
        <f>'Debt Schedule'!D382</f>
        <v>1000</v>
      </c>
      <c r="I74" s="222">
        <f>'Debt Schedule'!E382</f>
        <v>1000</v>
      </c>
      <c r="J74" s="222">
        <f>'Debt Schedule'!F382</f>
        <v>1000</v>
      </c>
      <c r="K74" s="222">
        <f>'Debt Schedule'!G382</f>
        <v>1000</v>
      </c>
      <c r="L74" s="238">
        <f>'Debt Schedule'!H382</f>
        <v>1000</v>
      </c>
    </row>
    <row r="75" spans="2:12" ht="15" customHeight="1" x14ac:dyDescent="0.2">
      <c r="B75" s="11" t="s">
        <v>204</v>
      </c>
      <c r="C75" s="222"/>
      <c r="D75" s="222"/>
      <c r="E75" s="222"/>
      <c r="F75" s="222"/>
      <c r="G75" s="238">
        <v>1000</v>
      </c>
      <c r="H75" s="222">
        <f>'Debt Schedule'!D392</f>
        <v>1000</v>
      </c>
      <c r="I75" s="222">
        <f>'Debt Schedule'!E392</f>
        <v>1000</v>
      </c>
      <c r="J75" s="222">
        <f>'Debt Schedule'!F392</f>
        <v>1000</v>
      </c>
      <c r="K75" s="222">
        <f>'Debt Schedule'!G392</f>
        <v>1000</v>
      </c>
      <c r="L75" s="238">
        <f>'Debt Schedule'!H392</f>
        <v>1000</v>
      </c>
    </row>
    <row r="76" spans="2:12" ht="15" customHeight="1" x14ac:dyDescent="0.2">
      <c r="B76" s="11" t="s">
        <v>117</v>
      </c>
      <c r="C76" s="222"/>
      <c r="D76" s="222"/>
      <c r="E76" s="222"/>
      <c r="F76" s="222"/>
      <c r="G76" s="238">
        <v>913</v>
      </c>
      <c r="H76" s="222">
        <f>'Debt Schedule'!D402</f>
        <v>1000</v>
      </c>
      <c r="I76" s="222">
        <f>'Debt Schedule'!E402</f>
        <v>1000</v>
      </c>
      <c r="J76" s="222">
        <f>'Debt Schedule'!F402</f>
        <v>1000</v>
      </c>
      <c r="K76" s="222">
        <f>'Debt Schedule'!G402</f>
        <v>1000</v>
      </c>
      <c r="L76" s="238">
        <f>'Debt Schedule'!H402</f>
        <v>1000</v>
      </c>
    </row>
    <row r="77" spans="2:12" ht="15" customHeight="1" x14ac:dyDescent="0.2">
      <c r="B77" s="11" t="s">
        <v>118</v>
      </c>
      <c r="C77" s="222"/>
      <c r="D77" s="222"/>
      <c r="E77" s="222"/>
      <c r="F77" s="222"/>
      <c r="G77" s="238">
        <v>957</v>
      </c>
      <c r="H77" s="222">
        <f>'Debt Schedule'!D412</f>
        <v>913</v>
      </c>
      <c r="I77" s="222">
        <f>'Debt Schedule'!E412</f>
        <v>913</v>
      </c>
      <c r="J77" s="222">
        <f>'Debt Schedule'!F412</f>
        <v>913</v>
      </c>
      <c r="K77" s="222">
        <f>'Debt Schedule'!G412</f>
        <v>913</v>
      </c>
      <c r="L77" s="238">
        <f>'Debt Schedule'!H412</f>
        <v>913</v>
      </c>
    </row>
    <row r="78" spans="2:12" ht="15" customHeight="1" x14ac:dyDescent="0.2">
      <c r="B78" s="11" t="s">
        <v>205</v>
      </c>
      <c r="C78" s="222"/>
      <c r="D78" s="222"/>
      <c r="E78" s="222"/>
      <c r="F78" s="222"/>
      <c r="G78" s="238">
        <v>764</v>
      </c>
      <c r="H78" s="222">
        <f>'Debt Schedule'!D422</f>
        <v>957</v>
      </c>
      <c r="I78" s="222">
        <f>'Debt Schedule'!E422</f>
        <v>957</v>
      </c>
      <c r="J78" s="222">
        <f>'Debt Schedule'!F422</f>
        <v>957</v>
      </c>
      <c r="K78" s="222">
        <f>'Debt Schedule'!G422</f>
        <v>957</v>
      </c>
      <c r="L78" s="238">
        <f>'Debt Schedule'!H422</f>
        <v>957</v>
      </c>
    </row>
    <row r="79" spans="2:12" ht="15" customHeight="1" x14ac:dyDescent="0.2">
      <c r="B79" s="11" t="s">
        <v>206</v>
      </c>
      <c r="C79" s="222"/>
      <c r="D79" s="222"/>
      <c r="E79" s="222"/>
      <c r="F79" s="222"/>
      <c r="G79" s="238">
        <v>1175</v>
      </c>
      <c r="H79" s="222">
        <f>'Debt Schedule'!D432</f>
        <v>764</v>
      </c>
      <c r="I79" s="222">
        <f>'Debt Schedule'!E432</f>
        <v>764</v>
      </c>
      <c r="J79" s="222">
        <f>'Debt Schedule'!F432</f>
        <v>764</v>
      </c>
      <c r="K79" s="222">
        <f>'Debt Schedule'!G432</f>
        <v>764</v>
      </c>
      <c r="L79" s="238">
        <f>'Debt Schedule'!H432</f>
        <v>764</v>
      </c>
    </row>
    <row r="80" spans="2:12" ht="15" customHeight="1" x14ac:dyDescent="0.2">
      <c r="B80" s="11" t="s">
        <v>207</v>
      </c>
      <c r="C80" s="222"/>
      <c r="D80" s="222"/>
      <c r="E80" s="222"/>
      <c r="F80" s="222"/>
      <c r="G80" s="238">
        <v>2000</v>
      </c>
      <c r="H80" s="222">
        <f>'Debt Schedule'!D442</f>
        <v>1175</v>
      </c>
      <c r="I80" s="222">
        <f>'Debt Schedule'!E442</f>
        <v>1175</v>
      </c>
      <c r="J80" s="222">
        <f>'Debt Schedule'!F442</f>
        <v>1175</v>
      </c>
      <c r="K80" s="222">
        <f>'Debt Schedule'!G442</f>
        <v>1175</v>
      </c>
      <c r="L80" s="238">
        <f>'Debt Schedule'!H442</f>
        <v>1175</v>
      </c>
    </row>
    <row r="81" spans="2:12" ht="15" customHeight="1" x14ac:dyDescent="0.2">
      <c r="B81" s="11" t="s">
        <v>208</v>
      </c>
      <c r="C81" s="222"/>
      <c r="D81" s="222"/>
      <c r="E81" s="222"/>
      <c r="F81" s="222"/>
      <c r="G81" s="238">
        <v>2500</v>
      </c>
      <c r="H81" s="222">
        <f>'Debt Schedule'!D452</f>
        <v>2000</v>
      </c>
      <c r="I81" s="222">
        <f>'Debt Schedule'!E452</f>
        <v>2000</v>
      </c>
      <c r="J81" s="222">
        <f>'Debt Schedule'!F452</f>
        <v>2000</v>
      </c>
      <c r="K81" s="222">
        <f>'Debt Schedule'!G452</f>
        <v>2000</v>
      </c>
      <c r="L81" s="238">
        <f>'Debt Schedule'!H452</f>
        <v>2000</v>
      </c>
    </row>
    <row r="82" spans="2:12" ht="15" customHeight="1" x14ac:dyDescent="0.2">
      <c r="B82" s="11" t="s">
        <v>209</v>
      </c>
      <c r="C82" s="222"/>
      <c r="D82" s="222"/>
      <c r="E82" s="222"/>
      <c r="F82" s="222"/>
      <c r="G82" s="238">
        <v>881</v>
      </c>
      <c r="H82" s="222">
        <f>'Debt Schedule'!D462</f>
        <v>2500</v>
      </c>
      <c r="I82" s="222">
        <f>'Debt Schedule'!E462</f>
        <v>2500</v>
      </c>
      <c r="J82" s="222">
        <f>'Debt Schedule'!F462</f>
        <v>2500</v>
      </c>
      <c r="K82" s="222">
        <f>'Debt Schedule'!G462</f>
        <v>2500</v>
      </c>
      <c r="L82" s="238">
        <f>'Debt Schedule'!H462</f>
        <v>2500</v>
      </c>
    </row>
    <row r="83" spans="2:12" ht="15" customHeight="1" x14ac:dyDescent="0.2">
      <c r="B83" s="11" t="s">
        <v>210</v>
      </c>
      <c r="C83" s="222"/>
      <c r="D83" s="222"/>
      <c r="E83" s="222"/>
      <c r="F83" s="222"/>
      <c r="G83" s="238">
        <v>3000</v>
      </c>
      <c r="H83" s="222">
        <f>'Debt Schedule'!D472</f>
        <v>881</v>
      </c>
      <c r="I83" s="222">
        <f>'Debt Schedule'!E472</f>
        <v>881</v>
      </c>
      <c r="J83" s="222">
        <f>'Debt Schedule'!F472</f>
        <v>881</v>
      </c>
      <c r="K83" s="222">
        <f>'Debt Schedule'!G472</f>
        <v>881</v>
      </c>
      <c r="L83" s="238">
        <f>'Debt Schedule'!H472</f>
        <v>881</v>
      </c>
    </row>
    <row r="84" spans="2:12" ht="15" customHeight="1" x14ac:dyDescent="0.2">
      <c r="B84" s="11" t="s">
        <v>211</v>
      </c>
      <c r="C84" s="222"/>
      <c r="D84" s="222"/>
      <c r="E84" s="222"/>
      <c r="F84" s="222"/>
      <c r="G84" s="238">
        <v>3000</v>
      </c>
      <c r="H84" s="222">
        <f>'Debt Schedule'!D482</f>
        <v>3000</v>
      </c>
      <c r="I84" s="222">
        <f>'Debt Schedule'!E482</f>
        <v>3000</v>
      </c>
      <c r="J84" s="222">
        <f>'Debt Schedule'!F482</f>
        <v>3000</v>
      </c>
      <c r="K84" s="222">
        <f>'Debt Schedule'!G482</f>
        <v>3000</v>
      </c>
      <c r="L84" s="238">
        <f>'Debt Schedule'!H482</f>
        <v>3000</v>
      </c>
    </row>
    <row r="85" spans="2:12" ht="15" customHeight="1" x14ac:dyDescent="0.2">
      <c r="B85" s="11" t="s">
        <v>212</v>
      </c>
      <c r="C85" s="222"/>
      <c r="D85" s="222"/>
      <c r="E85" s="222"/>
      <c r="F85" s="222"/>
      <c r="G85" s="238">
        <v>2800</v>
      </c>
      <c r="H85" s="222">
        <f>'Debt Schedule'!D492</f>
        <v>3000</v>
      </c>
      <c r="I85" s="222">
        <f>'Debt Schedule'!E492</f>
        <v>3000</v>
      </c>
      <c r="J85" s="222">
        <f>'Debt Schedule'!F492</f>
        <v>3000</v>
      </c>
      <c r="K85" s="222">
        <f>'Debt Schedule'!G492</f>
        <v>3000</v>
      </c>
      <c r="L85" s="238">
        <f>'Debt Schedule'!H492</f>
        <v>3000</v>
      </c>
    </row>
    <row r="86" spans="2:12" ht="15" customHeight="1" x14ac:dyDescent="0.2">
      <c r="B86" s="11" t="s">
        <v>213</v>
      </c>
      <c r="C86" s="222"/>
      <c r="D86" s="222"/>
      <c r="E86" s="222"/>
      <c r="F86" s="222"/>
      <c r="G86" s="238">
        <v>1750</v>
      </c>
      <c r="H86" s="222">
        <f>'Debt Schedule'!D502</f>
        <v>2800</v>
      </c>
      <c r="I86" s="222">
        <f>'Debt Schedule'!E502</f>
        <v>2800</v>
      </c>
      <c r="J86" s="222">
        <f>'Debt Schedule'!F502</f>
        <v>2800</v>
      </c>
      <c r="K86" s="222">
        <f>'Debt Schedule'!G502</f>
        <v>2800</v>
      </c>
      <c r="L86" s="238">
        <f>'Debt Schedule'!H502</f>
        <v>2800</v>
      </c>
    </row>
    <row r="87" spans="2:12" ht="15" customHeight="1" x14ac:dyDescent="0.2">
      <c r="B87" s="11" t="s">
        <v>214</v>
      </c>
      <c r="C87" s="222"/>
      <c r="D87" s="222"/>
      <c r="E87" s="222"/>
      <c r="F87" s="222"/>
      <c r="G87" s="238">
        <v>1250</v>
      </c>
      <c r="H87" s="222">
        <f>'Debt Schedule'!D512</f>
        <v>1750</v>
      </c>
      <c r="I87" s="222">
        <f>'Debt Schedule'!E512</f>
        <v>1750</v>
      </c>
      <c r="J87" s="222">
        <f>'Debt Schedule'!F512</f>
        <v>1750</v>
      </c>
      <c r="K87" s="222">
        <f>'Debt Schedule'!G512</f>
        <v>1750</v>
      </c>
      <c r="L87" s="238">
        <f>'Debt Schedule'!H512</f>
        <v>1750</v>
      </c>
    </row>
    <row r="88" spans="2:12" ht="15" customHeight="1" x14ac:dyDescent="0.2">
      <c r="B88" s="11" t="s">
        <v>214</v>
      </c>
      <c r="C88" s="222"/>
      <c r="D88" s="222"/>
      <c r="E88" s="222"/>
      <c r="F88" s="222"/>
      <c r="G88" s="238">
        <v>1000</v>
      </c>
      <c r="H88" s="222">
        <f>'Debt Schedule'!D522</f>
        <v>1250</v>
      </c>
      <c r="I88" s="222">
        <f>'Debt Schedule'!E522</f>
        <v>1250</v>
      </c>
      <c r="J88" s="222">
        <f>'Debt Schedule'!F522</f>
        <v>1250</v>
      </c>
      <c r="K88" s="222">
        <f>'Debt Schedule'!G522</f>
        <v>1250</v>
      </c>
      <c r="L88" s="238">
        <f>'Debt Schedule'!H522</f>
        <v>1250</v>
      </c>
    </row>
    <row r="89" spans="2:12" ht="15" customHeight="1" x14ac:dyDescent="0.2">
      <c r="B89" s="11" t="s">
        <v>215</v>
      </c>
      <c r="C89" s="222"/>
      <c r="D89" s="222"/>
      <c r="E89" s="222"/>
      <c r="F89" s="222"/>
      <c r="G89" s="238">
        <v>900</v>
      </c>
      <c r="H89" s="222">
        <f>'Debt Schedule'!D532</f>
        <v>1000</v>
      </c>
      <c r="I89" s="222">
        <f>'Debt Schedule'!E532</f>
        <v>1000</v>
      </c>
      <c r="J89" s="222">
        <f>'Debt Schedule'!F532</f>
        <v>1000</v>
      </c>
      <c r="K89" s="222">
        <f>'Debt Schedule'!G532</f>
        <v>1000</v>
      </c>
      <c r="L89" s="238">
        <f>'Debt Schedule'!H532</f>
        <v>1000</v>
      </c>
    </row>
    <row r="90" spans="2:12" ht="15" customHeight="1" x14ac:dyDescent="0.2">
      <c r="B90" s="11" t="s">
        <v>215</v>
      </c>
      <c r="C90" s="222"/>
      <c r="D90" s="222"/>
      <c r="E90" s="222"/>
      <c r="F90" s="222"/>
      <c r="G90" s="238">
        <v>750</v>
      </c>
      <c r="H90" s="222">
        <f>'Debt Schedule'!D542</f>
        <v>900</v>
      </c>
      <c r="I90" s="222">
        <f>'Debt Schedule'!E542</f>
        <v>900</v>
      </c>
      <c r="J90" s="222">
        <f>'Debt Schedule'!F542</f>
        <v>900</v>
      </c>
      <c r="K90" s="222">
        <f>'Debt Schedule'!G542</f>
        <v>900</v>
      </c>
      <c r="L90" s="238">
        <f>'Debt Schedule'!H542</f>
        <v>900</v>
      </c>
    </row>
    <row r="91" spans="2:12" ht="15" customHeight="1" x14ac:dyDescent="0.2">
      <c r="B91" s="11" t="s">
        <v>215</v>
      </c>
      <c r="C91" s="222"/>
      <c r="D91" s="222"/>
      <c r="E91" s="222"/>
      <c r="F91" s="222"/>
      <c r="G91" s="238">
        <v>1250</v>
      </c>
      <c r="H91" s="222">
        <f>'Debt Schedule'!D552</f>
        <v>750</v>
      </c>
      <c r="I91" s="222">
        <f>'Debt Schedule'!E552</f>
        <v>750</v>
      </c>
      <c r="J91" s="222">
        <f>'Debt Schedule'!F552</f>
        <v>750</v>
      </c>
      <c r="K91" s="222">
        <f>'Debt Schedule'!G552</f>
        <v>750</v>
      </c>
      <c r="L91" s="238">
        <f>'Debt Schedule'!H552</f>
        <v>750</v>
      </c>
    </row>
    <row r="92" spans="2:12" ht="15" customHeight="1" x14ac:dyDescent="0.2">
      <c r="B92" s="11" t="s">
        <v>216</v>
      </c>
      <c r="C92" s="222"/>
      <c r="D92" s="222"/>
      <c r="E92" s="222"/>
      <c r="F92" s="222"/>
      <c r="G92" s="238">
        <v>1000</v>
      </c>
      <c r="H92" s="222">
        <f>'Debt Schedule'!D562</f>
        <v>1250</v>
      </c>
      <c r="I92" s="222">
        <f>'Debt Schedule'!E562</f>
        <v>1250</v>
      </c>
      <c r="J92" s="222">
        <f>'Debt Schedule'!F562</f>
        <v>1250</v>
      </c>
      <c r="K92" s="222">
        <f>'Debt Schedule'!G562</f>
        <v>1250</v>
      </c>
      <c r="L92" s="238">
        <f>'Debt Schedule'!H562</f>
        <v>1250</v>
      </c>
    </row>
    <row r="93" spans="2:12" ht="15" customHeight="1" x14ac:dyDescent="0.2">
      <c r="B93" s="11" t="s">
        <v>217</v>
      </c>
      <c r="C93" s="222"/>
      <c r="D93" s="222"/>
      <c r="E93" s="222"/>
      <c r="F93" s="222"/>
      <c r="G93" s="238">
        <v>1700</v>
      </c>
      <c r="H93" s="222">
        <f>'Debt Schedule'!D572</f>
        <v>1000</v>
      </c>
      <c r="I93" s="222">
        <f>'Debt Schedule'!E572</f>
        <v>1000</v>
      </c>
      <c r="J93" s="222">
        <f>'Debt Schedule'!F572</f>
        <v>1000</v>
      </c>
      <c r="K93" s="222">
        <f>'Debt Schedule'!G572</f>
        <v>1000</v>
      </c>
      <c r="L93" s="238">
        <f>'Debt Schedule'!H572</f>
        <v>1000</v>
      </c>
    </row>
    <row r="94" spans="2:12" ht="15" customHeight="1" x14ac:dyDescent="0.2">
      <c r="B94" s="11" t="s">
        <v>218</v>
      </c>
      <c r="C94" s="222"/>
      <c r="D94" s="222"/>
      <c r="E94" s="222"/>
      <c r="F94" s="222"/>
      <c r="G94" s="238">
        <v>750</v>
      </c>
      <c r="H94" s="222">
        <f>'Debt Schedule'!D582</f>
        <v>1700</v>
      </c>
      <c r="I94" s="222">
        <f>'Debt Schedule'!E582</f>
        <v>1700</v>
      </c>
      <c r="J94" s="222">
        <f>'Debt Schedule'!F582</f>
        <v>1700</v>
      </c>
      <c r="K94" s="222">
        <f>'Debt Schedule'!G582</f>
        <v>1700</v>
      </c>
      <c r="L94" s="238">
        <f>'Debt Schedule'!H582</f>
        <v>1700</v>
      </c>
    </row>
    <row r="95" spans="2:12" ht="15" customHeight="1" x14ac:dyDescent="0.2">
      <c r="B95" s="11" t="s">
        <v>219</v>
      </c>
      <c r="C95" s="222"/>
      <c r="D95" s="222"/>
      <c r="E95" s="222"/>
      <c r="F95" s="222"/>
      <c r="G95" s="238">
        <v>393</v>
      </c>
      <c r="H95" s="222">
        <f>'Debt Schedule'!D592</f>
        <v>750</v>
      </c>
      <c r="I95" s="222">
        <f>'Debt Schedule'!E592</f>
        <v>750</v>
      </c>
      <c r="J95" s="222">
        <f>'Debt Schedule'!F592</f>
        <v>750</v>
      </c>
      <c r="K95" s="222">
        <f>'Debt Schedule'!G592</f>
        <v>750</v>
      </c>
      <c r="L95" s="238">
        <f>'Debt Schedule'!H592</f>
        <v>750</v>
      </c>
    </row>
    <row r="96" spans="2:12" ht="15" customHeight="1" x14ac:dyDescent="0.2">
      <c r="B96" s="11" t="s">
        <v>220</v>
      </c>
      <c r="C96" s="222"/>
      <c r="D96" s="222"/>
      <c r="E96" s="222"/>
      <c r="F96" s="222"/>
      <c r="G96" s="238">
        <v>401</v>
      </c>
      <c r="H96" s="222">
        <f>'Debt Schedule'!D602</f>
        <v>393</v>
      </c>
      <c r="I96" s="222">
        <f>'Debt Schedule'!E602</f>
        <v>393</v>
      </c>
      <c r="J96" s="222">
        <f>'Debt Schedule'!F602</f>
        <v>393</v>
      </c>
      <c r="K96" s="222">
        <f>'Debt Schedule'!G602</f>
        <v>393</v>
      </c>
      <c r="L96" s="238">
        <f>'Debt Schedule'!H602</f>
        <v>393</v>
      </c>
    </row>
    <row r="97" spans="2:12" ht="15" customHeight="1" x14ac:dyDescent="0.2">
      <c r="B97" s="11" t="s">
        <v>221</v>
      </c>
      <c r="C97" s="222"/>
      <c r="D97" s="222"/>
      <c r="E97" s="222"/>
      <c r="F97" s="222"/>
      <c r="G97" s="238">
        <v>395</v>
      </c>
      <c r="H97" s="222">
        <f>'Debt Schedule'!D612</f>
        <v>401</v>
      </c>
      <c r="I97" s="222">
        <f>'Debt Schedule'!E612</f>
        <v>401</v>
      </c>
      <c r="J97" s="222">
        <f>'Debt Schedule'!F612</f>
        <v>401</v>
      </c>
      <c r="K97" s="222">
        <f>'Debt Schedule'!G612</f>
        <v>401</v>
      </c>
      <c r="L97" s="238">
        <f>'Debt Schedule'!H612</f>
        <v>401</v>
      </c>
    </row>
    <row r="98" spans="2:12" ht="15" customHeight="1" x14ac:dyDescent="0.2">
      <c r="B98" s="11" t="s">
        <v>222</v>
      </c>
      <c r="C98" s="222"/>
      <c r="D98" s="222"/>
      <c r="E98" s="222"/>
      <c r="F98" s="222"/>
      <c r="G98" s="238">
        <v>666</v>
      </c>
      <c r="H98" s="222">
        <f>'Debt Schedule'!D622</f>
        <v>395</v>
      </c>
      <c r="I98" s="222">
        <f>'Debt Schedule'!E622</f>
        <v>395</v>
      </c>
      <c r="J98" s="222">
        <f>'Debt Schedule'!F622</f>
        <v>395</v>
      </c>
      <c r="K98" s="222">
        <f>'Debt Schedule'!G622</f>
        <v>395</v>
      </c>
      <c r="L98" s="238">
        <f>'Debt Schedule'!H622</f>
        <v>395</v>
      </c>
    </row>
    <row r="99" spans="2:12" ht="15" customHeight="1" x14ac:dyDescent="0.2">
      <c r="B99" s="11" t="s">
        <v>223</v>
      </c>
      <c r="C99" s="222"/>
      <c r="D99" s="222"/>
      <c r="E99" s="222"/>
      <c r="F99" s="222"/>
      <c r="G99" s="247">
        <v>-313</v>
      </c>
      <c r="H99" s="222">
        <v>0</v>
      </c>
      <c r="I99" s="222">
        <v>0</v>
      </c>
      <c r="J99" s="222">
        <v>0</v>
      </c>
      <c r="K99" s="222">
        <v>0</v>
      </c>
      <c r="L99" s="238">
        <v>0</v>
      </c>
    </row>
    <row r="100" spans="2:12" ht="15" customHeight="1" x14ac:dyDescent="0.2">
      <c r="B100" s="11" t="s">
        <v>224</v>
      </c>
      <c r="C100" s="222"/>
      <c r="D100" s="222"/>
      <c r="E100" s="222"/>
      <c r="F100" s="222"/>
      <c r="G100" s="247">
        <v>-352</v>
      </c>
      <c r="H100" s="222">
        <v>0</v>
      </c>
      <c r="I100" s="222">
        <v>0</v>
      </c>
      <c r="J100" s="222">
        <v>0</v>
      </c>
      <c r="K100" s="222">
        <v>0</v>
      </c>
      <c r="L100" s="238">
        <v>0</v>
      </c>
    </row>
    <row r="101" spans="2:12" ht="15" customHeight="1" x14ac:dyDescent="0.2">
      <c r="B101" s="3" t="s">
        <v>225</v>
      </c>
      <c r="C101" s="222">
        <v>1494</v>
      </c>
      <c r="D101" s="222">
        <v>0</v>
      </c>
      <c r="E101" s="222">
        <v>0</v>
      </c>
      <c r="F101" s="222">
        <v>0</v>
      </c>
      <c r="G101" s="238">
        <v>0</v>
      </c>
      <c r="H101" s="176">
        <v>0</v>
      </c>
      <c r="I101" s="176">
        <v>0</v>
      </c>
      <c r="J101" s="176">
        <v>0</v>
      </c>
      <c r="K101" s="176">
        <v>0</v>
      </c>
      <c r="L101" s="85">
        <v>0</v>
      </c>
    </row>
    <row r="102" spans="2:12" ht="15" customHeight="1" x14ac:dyDescent="0.2">
      <c r="B102" s="11" t="s">
        <v>226</v>
      </c>
      <c r="C102" s="222">
        <v>2806</v>
      </c>
      <c r="D102" s="222">
        <v>3934</v>
      </c>
      <c r="E102" s="222">
        <v>3777</v>
      </c>
      <c r="F102" s="222">
        <v>3664</v>
      </c>
      <c r="G102" s="238">
        <v>3532</v>
      </c>
      <c r="H102" s="189">
        <f>Assumptions!L36*'Income Statement'!H11</f>
        <v>4109.3597399999999</v>
      </c>
      <c r="I102" s="189">
        <f>Assumptions!M36*'Income Statement'!I11</f>
        <v>4708.825052319</v>
      </c>
      <c r="J102" s="189">
        <f>Assumptions!N36*'Income Statement'!J11</f>
        <v>5046.1298824740643</v>
      </c>
      <c r="K102" s="189">
        <f>Assumptions!O36*'Income Statement'!K11</f>
        <v>5057.1094225086608</v>
      </c>
      <c r="L102" s="191">
        <f>Assumptions!P36*'Income Statement'!L11</f>
        <v>5170.61989788964</v>
      </c>
    </row>
    <row r="103" spans="2:12" ht="15" customHeight="1" x14ac:dyDescent="0.2">
      <c r="B103" s="11" t="s">
        <v>227</v>
      </c>
      <c r="C103" s="222">
        <v>10216</v>
      </c>
      <c r="D103" s="222">
        <v>10884</v>
      </c>
      <c r="E103" s="222">
        <v>13458</v>
      </c>
      <c r="F103" s="222">
        <v>16700</v>
      </c>
      <c r="G103" s="238">
        <v>19583</v>
      </c>
      <c r="H103" s="189">
        <f>Assumptions!L37*'Income Statement'!H11</f>
        <v>21859.904455999997</v>
      </c>
      <c r="I103" s="189">
        <f>Assumptions!M37*'Income Statement'!I11</f>
        <v>24744.018583278001</v>
      </c>
      <c r="J103" s="189">
        <f>Assumptions!N37*'Income Statement'!J11</f>
        <v>27929.742140205282</v>
      </c>
      <c r="K103" s="189">
        <f>Assumptions!O37*'Income Statement'!K11</f>
        <v>31097.280880949696</v>
      </c>
      <c r="L103" s="191">
        <f>Assumptions!P37*'Income Statement'!L11</f>
        <v>33424.788857162457</v>
      </c>
    </row>
    <row r="104" spans="2:12" ht="21" customHeight="1" x14ac:dyDescent="0.2">
      <c r="B104" s="11" t="s">
        <v>228</v>
      </c>
      <c r="C104" s="222">
        <v>25818</v>
      </c>
      <c r="D104" s="222">
        <v>29855</v>
      </c>
      <c r="E104" s="222">
        <v>28240</v>
      </c>
      <c r="F104" s="222">
        <v>26408</v>
      </c>
      <c r="G104" s="238">
        <v>26371</v>
      </c>
      <c r="H104" s="189">
        <f>Assumptions!L38*'Income Statement'!H11</f>
        <v>32619.814211999997</v>
      </c>
      <c r="I104" s="189">
        <f>Assumptions!M38*'Income Statement'!I11</f>
        <v>32437.452234068998</v>
      </c>
      <c r="J104" s="189">
        <f>Assumptions!N38*'Income Statement'!J11</f>
        <v>38203.363867102795</v>
      </c>
      <c r="K104" s="189">
        <f>Assumptions!O38*'Income Statement'!K11</f>
        <v>41876.019672354567</v>
      </c>
      <c r="L104" s="191">
        <f>Assumptions!P38*'Income Statement'!L11</f>
        <v>47664.79492077577</v>
      </c>
    </row>
    <row r="105" spans="2:12" ht="21" customHeight="1" x14ac:dyDescent="0.2">
      <c r="B105" s="11" t="s">
        <v>229</v>
      </c>
      <c r="C105" s="222">
        <v>1455</v>
      </c>
      <c r="D105" s="222">
        <v>1370</v>
      </c>
      <c r="E105" s="222">
        <v>1236</v>
      </c>
      <c r="F105" s="222">
        <v>1151</v>
      </c>
      <c r="G105" s="238">
        <v>1107</v>
      </c>
      <c r="H105" s="189">
        <f>Assumptions!L39*'Income Statement'!H11</f>
        <v>1105.2760679999999</v>
      </c>
      <c r="I105" s="189">
        <f>Assumptions!M39*'Income Statement'!I11</f>
        <v>1088.9788129560002</v>
      </c>
      <c r="J105" s="189">
        <f>Assumptions!N39*'Income Statement'!J11</f>
        <v>1088.1717716963099</v>
      </c>
      <c r="K105" s="189">
        <f>Assumptions!O39*'Income Statement'!K11</f>
        <v>1081.252794122119</v>
      </c>
      <c r="L105" s="191">
        <f>Assumptions!P39*'Income Statement'!L11</f>
        <v>1046.0104621018124</v>
      </c>
    </row>
    <row r="106" spans="2:12" ht="15" customHeight="1" x14ac:dyDescent="0.2">
      <c r="B106" s="11" t="s">
        <v>230</v>
      </c>
      <c r="C106" s="222">
        <v>5097</v>
      </c>
      <c r="D106" s="222">
        <v>4101</v>
      </c>
      <c r="E106" s="222">
        <v>3929</v>
      </c>
      <c r="F106" s="222">
        <v>4000</v>
      </c>
      <c r="G106" s="238">
        <v>3794</v>
      </c>
      <c r="H106" s="189">
        <f>Assumptions!L40*'Income Statement'!H11</f>
        <v>3910.9768559999998</v>
      </c>
      <c r="I106" s="189">
        <f>Assumptions!M40*'Income Statement'!I11</f>
        <v>3902.1740797590001</v>
      </c>
      <c r="J106" s="189">
        <f>Assumptions!N40*'Income Statement'!J11</f>
        <v>3829.9379023428946</v>
      </c>
      <c r="K106" s="189">
        <f>Assumptions!O40*'Income Statement'!K11</f>
        <v>3885.7522288763657</v>
      </c>
      <c r="L106" s="191">
        <f>Assumptions!P40*'Income Statement'!L11</f>
        <v>3946.3121979295647</v>
      </c>
    </row>
    <row r="107" spans="2:12" ht="15" customHeight="1" x14ac:dyDescent="0.2">
      <c r="B107" s="11" t="s">
        <v>231</v>
      </c>
      <c r="C107" s="222"/>
      <c r="D107" s="222"/>
      <c r="E107" s="222"/>
      <c r="F107" s="222"/>
      <c r="G107" s="247">
        <v>-5135</v>
      </c>
      <c r="H107" s="189"/>
      <c r="I107" s="189"/>
      <c r="J107" s="189"/>
      <c r="K107" s="189"/>
      <c r="L107" s="191"/>
    </row>
    <row r="108" spans="2:12" ht="15" customHeight="1" x14ac:dyDescent="0.2">
      <c r="B108" s="15" t="s">
        <v>232</v>
      </c>
      <c r="C108" s="5">
        <f>SUM(C35:C106)</f>
        <v>113962</v>
      </c>
      <c r="D108" s="5">
        <f t="shared" ref="D108:F108" si="2">SUM(D35:D106)</f>
        <v>116940</v>
      </c>
      <c r="E108" s="5">
        <f t="shared" si="2"/>
        <v>122039</v>
      </c>
      <c r="F108" s="5">
        <f t="shared" si="2"/>
        <v>126120</v>
      </c>
      <c r="G108" s="6">
        <f>SUM(G36:G107)</f>
        <v>135534</v>
      </c>
      <c r="H108" s="177">
        <f>SUM(H35:H106)</f>
        <v>146886.331332</v>
      </c>
      <c r="I108" s="177">
        <f>SUM(I35:I106)</f>
        <v>150162.44876238098</v>
      </c>
      <c r="J108" s="177">
        <f>SUM(J35:J106)</f>
        <v>145426.34556382135</v>
      </c>
      <c r="K108" s="177">
        <f>SUM(K35:K106)</f>
        <v>144571.41499881141</v>
      </c>
      <c r="L108" s="178">
        <f>SUM(L35:L106)</f>
        <v>145326.52633585926</v>
      </c>
    </row>
    <row r="109" spans="2:12" ht="15" customHeight="1" x14ac:dyDescent="0.2">
      <c r="B109" s="15"/>
      <c r="C109" s="177"/>
      <c r="D109" s="177"/>
      <c r="E109" s="177"/>
      <c r="F109" s="177"/>
      <c r="G109" s="215"/>
      <c r="H109" s="214"/>
      <c r="I109" s="214"/>
      <c r="J109" s="214"/>
      <c r="K109" s="214"/>
      <c r="L109" s="220"/>
    </row>
    <row r="110" spans="2:12" ht="15" customHeight="1" x14ac:dyDescent="0.2">
      <c r="B110" s="15" t="s">
        <v>233</v>
      </c>
      <c r="C110" s="19"/>
      <c r="D110" s="19"/>
      <c r="E110" s="19"/>
      <c r="F110" s="19"/>
      <c r="G110" s="19"/>
      <c r="H110" s="84"/>
      <c r="I110" s="176"/>
      <c r="J110" s="176"/>
      <c r="K110" s="176"/>
      <c r="L110" s="85"/>
    </row>
    <row r="111" spans="2:12" ht="15" customHeight="1" x14ac:dyDescent="0.2">
      <c r="B111" s="11" t="s">
        <v>234</v>
      </c>
      <c r="C111" s="223">
        <v>0</v>
      </c>
      <c r="D111" s="223">
        <v>0</v>
      </c>
      <c r="E111" s="223">
        <v>0</v>
      </c>
      <c r="F111" s="223">
        <v>0</v>
      </c>
      <c r="G111" s="223">
        <v>0</v>
      </c>
      <c r="H111" s="195">
        <v>0</v>
      </c>
      <c r="I111" s="193">
        <v>0</v>
      </c>
      <c r="J111" s="193">
        <v>0</v>
      </c>
      <c r="K111" s="193">
        <v>0</v>
      </c>
      <c r="L111" s="7">
        <v>0</v>
      </c>
    </row>
    <row r="112" spans="2:12" ht="15" customHeight="1" x14ac:dyDescent="0.2">
      <c r="B112" s="11" t="s">
        <v>235</v>
      </c>
      <c r="C112" s="222">
        <v>73292</v>
      </c>
      <c r="D112" s="222">
        <v>73941</v>
      </c>
      <c r="E112" s="222">
        <v>67705</v>
      </c>
      <c r="F112" s="222">
        <v>68798</v>
      </c>
      <c r="G112" s="222">
        <v>69460</v>
      </c>
      <c r="H112" s="196">
        <v>69460</v>
      </c>
      <c r="I112" s="175">
        <v>69460</v>
      </c>
      <c r="J112" s="175">
        <v>69460</v>
      </c>
      <c r="K112" s="175">
        <v>69460</v>
      </c>
      <c r="L112" s="4">
        <v>69460</v>
      </c>
    </row>
    <row r="113" spans="2:12" ht="15" customHeight="1" x14ac:dyDescent="0.2">
      <c r="B113" s="11" t="s">
        <v>236</v>
      </c>
      <c r="C113" s="225">
        <v>-13</v>
      </c>
      <c r="D113" s="225">
        <v>-3016</v>
      </c>
      <c r="E113" s="225">
        <v>-9373</v>
      </c>
      <c r="F113" s="225">
        <v>-20584</v>
      </c>
      <c r="G113" s="225">
        <v>-30545</v>
      </c>
      <c r="H113" s="197">
        <v>-30545</v>
      </c>
      <c r="I113" s="194">
        <v>-30545</v>
      </c>
      <c r="J113" s="194">
        <v>-30545</v>
      </c>
      <c r="K113" s="194">
        <v>-30545</v>
      </c>
      <c r="L113" s="8">
        <v>-30545</v>
      </c>
    </row>
    <row r="114" spans="2:12" ht="15" customHeight="1" x14ac:dyDescent="0.2">
      <c r="B114" s="11" t="s">
        <v>237</v>
      </c>
      <c r="C114" s="225">
        <v>-1365</v>
      </c>
      <c r="D114" s="225">
        <v>-1046</v>
      </c>
      <c r="E114" s="225">
        <v>-964</v>
      </c>
      <c r="F114" s="225">
        <v>-857</v>
      </c>
      <c r="G114" s="225">
        <v>-848</v>
      </c>
      <c r="H114" s="197">
        <v>-848</v>
      </c>
      <c r="I114" s="194">
        <v>-848</v>
      </c>
      <c r="J114" s="194">
        <v>-848</v>
      </c>
      <c r="K114" s="194">
        <v>-848</v>
      </c>
      <c r="L114" s="8">
        <v>-848</v>
      </c>
    </row>
    <row r="115" spans="2:12" ht="15" customHeight="1" x14ac:dyDescent="0.2">
      <c r="B115" s="11" t="s">
        <v>238</v>
      </c>
      <c r="C115" s="225">
        <v>-2812</v>
      </c>
      <c r="D115" s="225">
        <v>-223</v>
      </c>
      <c r="E115" s="225">
        <v>7347</v>
      </c>
      <c r="F115" s="225">
        <v>14384</v>
      </c>
      <c r="G115" s="225">
        <v>21136</v>
      </c>
      <c r="H115" s="197">
        <f ca="1">Calcs!H10</f>
        <v>35341.543926479906</v>
      </c>
      <c r="I115" s="194">
        <f ca="1">Calcs!I10</f>
        <v>48659.722544719523</v>
      </c>
      <c r="J115" s="194">
        <f ca="1">Calcs!J10</f>
        <v>65834.621720760129</v>
      </c>
      <c r="K115" s="194">
        <f ca="1">Calcs!K10</f>
        <v>85679.101495830313</v>
      </c>
      <c r="L115" s="8">
        <f ca="1">Calcs!L10</f>
        <v>108027.02722642568</v>
      </c>
    </row>
    <row r="116" spans="2:12" ht="15" customHeight="1" x14ac:dyDescent="0.2">
      <c r="B116" s="15" t="s">
        <v>239</v>
      </c>
      <c r="C116" s="5">
        <f>SUM(C111:C115)</f>
        <v>69102</v>
      </c>
      <c r="D116" s="5">
        <f t="shared" ref="D116:G116" si="3">SUM(D111:D115)</f>
        <v>69656</v>
      </c>
      <c r="E116" s="5">
        <f t="shared" si="3"/>
        <v>64715</v>
      </c>
      <c r="F116" s="5">
        <f t="shared" si="3"/>
        <v>61741</v>
      </c>
      <c r="G116" s="5">
        <f t="shared" si="3"/>
        <v>59203</v>
      </c>
      <c r="H116" s="179">
        <f t="shared" ref="H116" ca="1" si="4">SUM(H111:H115)</f>
        <v>73408.543926479906</v>
      </c>
      <c r="I116" s="5">
        <f ca="1">SUM(I111:I115)</f>
        <v>86726.722544719523</v>
      </c>
      <c r="J116" s="5">
        <f ca="1">SUM(J111:J115)</f>
        <v>103901.62172076013</v>
      </c>
      <c r="K116" s="5">
        <f ca="1">SUM(K111:K115)</f>
        <v>123746.10149583031</v>
      </c>
      <c r="L116" s="6">
        <f ca="1">SUM(L111:L115)</f>
        <v>146094.02722642568</v>
      </c>
    </row>
    <row r="117" spans="2:12" ht="15" customHeight="1" x14ac:dyDescent="0.2">
      <c r="B117" s="15" t="s">
        <v>240</v>
      </c>
      <c r="C117" s="5">
        <f>C33+C108+C116</f>
        <v>206563</v>
      </c>
      <c r="D117" s="5">
        <f t="shared" ref="D117:G117" si="5">D33+D108+D116</f>
        <v>211338</v>
      </c>
      <c r="E117" s="5">
        <f t="shared" si="5"/>
        <v>207682</v>
      </c>
      <c r="F117" s="5">
        <f t="shared" si="5"/>
        <v>208035</v>
      </c>
      <c r="G117" s="5">
        <f t="shared" si="5"/>
        <v>219237</v>
      </c>
      <c r="H117" s="5">
        <f t="shared" ref="H117" ca="1" si="6">H33+H108+H116</f>
        <v>246404.14183947991</v>
      </c>
      <c r="I117" s="5">
        <f t="shared" ref="I117" ca="1" si="7">I33+I108+I116</f>
        <v>263994.92384671723</v>
      </c>
      <c r="J117" s="5">
        <f t="shared" ref="J117" ca="1" si="8">J33+J108+J116</f>
        <v>278605.44492525549</v>
      </c>
      <c r="K117" s="5">
        <f t="shared" ref="K117" ca="1" si="9">K33+K108+K116</f>
        <v>299587.74809456599</v>
      </c>
      <c r="L117" s="198">
        <f t="shared" ref="L117" ca="1" si="10">L33+L108+L116</f>
        <v>324340.91965081578</v>
      </c>
    </row>
    <row r="118" spans="2:12" ht="15" customHeight="1" x14ac:dyDescent="0.2">
      <c r="B118" s="13" t="s">
        <v>241</v>
      </c>
      <c r="C118" s="20">
        <f t="shared" ref="C118:L118" si="11">C22-C117</f>
        <v>0</v>
      </c>
      <c r="D118" s="20">
        <f t="shared" si="11"/>
        <v>0</v>
      </c>
      <c r="E118" s="20">
        <f t="shared" si="11"/>
        <v>0</v>
      </c>
      <c r="F118" s="20">
        <f t="shared" si="11"/>
        <v>0</v>
      </c>
      <c r="G118" s="20">
        <f t="shared" si="11"/>
        <v>0</v>
      </c>
      <c r="H118" s="65">
        <f ca="1">H22-H117</f>
        <v>0</v>
      </c>
      <c r="I118" s="65">
        <f t="shared" ca="1" si="11"/>
        <v>0</v>
      </c>
      <c r="J118" s="65">
        <f t="shared" ca="1" si="11"/>
        <v>0</v>
      </c>
      <c r="K118" s="65">
        <f t="shared" ca="1" si="11"/>
        <v>0</v>
      </c>
      <c r="L118" s="66">
        <f t="shared" ca="1" si="11"/>
        <v>0</v>
      </c>
    </row>
    <row r="120" spans="2:12" ht="21" customHeight="1" x14ac:dyDescent="0.2">
      <c r="L120" s="67"/>
    </row>
    <row r="121" spans="2:12" ht="21" customHeight="1" x14ac:dyDescent="0.2"/>
    <row r="123" spans="2:12" x14ac:dyDescent="0.2">
      <c r="H123" s="245"/>
    </row>
    <row r="124" spans="2:12" ht="21" customHeight="1" x14ac:dyDescent="0.2"/>
    <row r="166" ht="14.75" customHeight="1" x14ac:dyDescent="0.2"/>
    <row r="167" ht="14.75" customHeight="1" x14ac:dyDescent="0.2"/>
    <row r="171" ht="14.75" customHeight="1" x14ac:dyDescent="0.2"/>
    <row r="172" ht="14.75" customHeight="1" x14ac:dyDescent="0.2"/>
    <row r="173" ht="14.75" customHeight="1" x14ac:dyDescent="0.2"/>
    <row r="174" ht="14.75" customHeight="1" x14ac:dyDescent="0.2"/>
    <row r="175" ht="14.75" customHeight="1" x14ac:dyDescent="0.2"/>
    <row r="176" ht="14.75" customHeight="1" x14ac:dyDescent="0.2"/>
    <row r="177" ht="14.75" customHeight="1" x14ac:dyDescent="0.2"/>
    <row r="178" ht="14.75" customHeight="1" x14ac:dyDescent="0.2"/>
    <row r="179" ht="14.75" customHeight="1" x14ac:dyDescent="0.2"/>
    <row r="180" ht="14.75" customHeight="1" x14ac:dyDescent="0.2"/>
    <row r="181" ht="14.75" customHeight="1" x14ac:dyDescent="0.2"/>
    <row r="182" ht="14.75" customHeight="1" x14ac:dyDescent="0.2"/>
    <row r="183" ht="15" customHeight="1" x14ac:dyDescent="0.2"/>
    <row r="184" ht="14.75" customHeight="1" x14ac:dyDescent="0.2"/>
    <row r="185" ht="14.75" customHeight="1" x14ac:dyDescent="0.2"/>
    <row r="186" ht="14.75" customHeight="1" x14ac:dyDescent="0.2"/>
    <row r="187" ht="14.75" customHeight="1" x14ac:dyDescent="0.2"/>
    <row r="188" ht="14.75" customHeight="1" x14ac:dyDescent="0.2"/>
    <row r="189" ht="14.75" customHeight="1" x14ac:dyDescent="0.2"/>
    <row r="190" ht="14.75" customHeight="1" x14ac:dyDescent="0.2"/>
    <row r="191" ht="14.75" customHeight="1" x14ac:dyDescent="0.2"/>
    <row r="192" ht="14.75" customHeight="1" x14ac:dyDescent="0.2"/>
    <row r="193" ht="14.75" customHeight="1" x14ac:dyDescent="0.2"/>
    <row r="194" ht="14.75" customHeight="1" x14ac:dyDescent="0.2"/>
    <row r="195" ht="14.75" customHeight="1" x14ac:dyDescent="0.2"/>
    <row r="196" ht="14.75" customHeight="1" x14ac:dyDescent="0.2"/>
    <row r="197" ht="14.75" customHeight="1" x14ac:dyDescent="0.2"/>
    <row r="198" ht="14.75" customHeight="1" x14ac:dyDescent="0.2"/>
    <row r="199" ht="14.75" customHeight="1" x14ac:dyDescent="0.2"/>
    <row r="200" ht="14.75" customHeight="1" x14ac:dyDescent="0.2"/>
    <row r="201" ht="14.75" customHeight="1" x14ac:dyDescent="0.2"/>
    <row r="202" ht="14.75" customHeight="1" x14ac:dyDescent="0.2"/>
    <row r="203" ht="14.75" customHeight="1" x14ac:dyDescent="0.2"/>
    <row r="204" ht="14.75" customHeight="1" x14ac:dyDescent="0.2"/>
    <row r="205" ht="14.75" customHeight="1" x14ac:dyDescent="0.2"/>
    <row r="206" ht="14.75" customHeight="1" x14ac:dyDescent="0.2"/>
    <row r="207" ht="14.75" customHeight="1" x14ac:dyDescent="0.2"/>
    <row r="208" ht="14.75" customHeight="1" x14ac:dyDescent="0.2"/>
    <row r="209" ht="14.75" customHeight="1" x14ac:dyDescent="0.2"/>
    <row r="210" ht="14.75" customHeight="1" x14ac:dyDescent="0.2"/>
    <row r="211" ht="14.75" customHeight="1" x14ac:dyDescent="0.2"/>
    <row r="212" ht="14.75" customHeight="1" x14ac:dyDescent="0.2"/>
    <row r="213" ht="14.75" customHeight="1" x14ac:dyDescent="0.2"/>
    <row r="214" ht="14.75" customHeight="1" x14ac:dyDescent="0.2"/>
    <row r="215" ht="14.75" customHeight="1" x14ac:dyDescent="0.2"/>
    <row r="219" ht="14.75" customHeight="1" x14ac:dyDescent="0.2"/>
    <row r="220" ht="14.75" customHeight="1" x14ac:dyDescent="0.2"/>
    <row r="221" ht="14.75" customHeight="1" x14ac:dyDescent="0.2"/>
    <row r="222" ht="14.75" customHeight="1" x14ac:dyDescent="0.2"/>
    <row r="223" ht="14.75" customHeight="1" x14ac:dyDescent="0.2"/>
    <row r="224" ht="14.75" customHeight="1" x14ac:dyDescent="0.2"/>
    <row r="225" ht="14.75" customHeight="1" x14ac:dyDescent="0.2"/>
    <row r="226" ht="14.75" customHeight="1" x14ac:dyDescent="0.2"/>
    <row r="227" ht="14.75" customHeight="1" x14ac:dyDescent="0.2"/>
    <row r="228" ht="14.75" customHeight="1"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C67D6-DD11-48D1-8519-3261FA88C27E}">
  <dimension ref="B2:K96"/>
  <sheetViews>
    <sheetView showGridLines="0" zoomScale="91" workbookViewId="0">
      <selection activeCell="D81" sqref="D81"/>
    </sheetView>
  </sheetViews>
  <sheetFormatPr baseColWidth="10" defaultColWidth="8.6640625" defaultRowHeight="15" x14ac:dyDescent="0.2"/>
  <cols>
    <col min="1" max="1" width="6.5" customWidth="1"/>
    <col min="2" max="2" width="40" bestFit="1" customWidth="1"/>
    <col min="3" max="8" width="15.5" customWidth="1"/>
  </cols>
  <sheetData>
    <row r="2" spans="2:8" x14ac:dyDescent="0.2">
      <c r="B2" s="526" t="s">
        <v>242</v>
      </c>
      <c r="C2" s="527" t="s">
        <v>243</v>
      </c>
      <c r="D2" s="555" t="s">
        <v>11</v>
      </c>
      <c r="E2" s="555"/>
      <c r="F2" s="555"/>
      <c r="G2" s="555"/>
      <c r="H2" s="556"/>
    </row>
    <row r="3" spans="2:8" ht="16" x14ac:dyDescent="0.2">
      <c r="B3" s="557" t="s">
        <v>244</v>
      </c>
      <c r="C3" s="558" t="s">
        <v>17</v>
      </c>
      <c r="D3" s="559" t="s">
        <v>18</v>
      </c>
      <c r="E3" s="559" t="s">
        <v>19</v>
      </c>
      <c r="F3" s="559" t="s">
        <v>20</v>
      </c>
      <c r="G3" s="559" t="s">
        <v>21</v>
      </c>
      <c r="H3" s="560" t="s">
        <v>22</v>
      </c>
    </row>
    <row r="4" spans="2:8" ht="14.25" customHeight="1" x14ac:dyDescent="0.2">
      <c r="B4" s="15" t="s">
        <v>245</v>
      </c>
      <c r="C4" s="329" t="s">
        <v>246</v>
      </c>
      <c r="D4" s="1" t="s">
        <v>246</v>
      </c>
      <c r="E4" s="1" t="s">
        <v>246</v>
      </c>
      <c r="F4" s="1" t="s">
        <v>246</v>
      </c>
      <c r="G4" s="330" t="s">
        <v>246</v>
      </c>
      <c r="H4" s="71" t="s">
        <v>246</v>
      </c>
    </row>
    <row r="5" spans="2:8" ht="14.25" customHeight="1" x14ac:dyDescent="0.2">
      <c r="B5" s="11" t="s">
        <v>53</v>
      </c>
      <c r="C5" s="131">
        <f>'Income Statement'!G25</f>
        <v>10992</v>
      </c>
      <c r="D5" s="131" cm="1">
        <f t="array" aca="1" ref="D5:H5" ca="1">'Income Statement'!H25:L25</f>
        <v>14205.54392647991</v>
      </c>
      <c r="E5" s="131">
        <f ca="1"/>
        <v>13318.178618239621</v>
      </c>
      <c r="F5" s="131">
        <f ca="1"/>
        <v>17174.899176040606</v>
      </c>
      <c r="G5" s="131">
        <f ca="1"/>
        <v>19844.479775070191</v>
      </c>
      <c r="H5" s="132">
        <f ca="1"/>
        <v>22347.925730595358</v>
      </c>
    </row>
    <row r="6" spans="2:8" ht="14.25" customHeight="1" x14ac:dyDescent="0.2">
      <c r="B6" s="11" t="s">
        <v>40</v>
      </c>
      <c r="C6" s="131">
        <f>Calcs!G16</f>
        <v>13508</v>
      </c>
      <c r="D6" s="131">
        <f>Calcs!H16</f>
        <v>15965.098760000001</v>
      </c>
      <c r="E6" s="131">
        <f>Calcs!I16</f>
        <v>16233.85082277</v>
      </c>
      <c r="F6" s="131">
        <f>Calcs!J16</f>
        <v>16749.310603560847</v>
      </c>
      <c r="G6" s="131">
        <f>Calcs!K16</f>
        <v>17570.357904484434</v>
      </c>
      <c r="H6" s="132">
        <f>Calcs!L16</f>
        <v>18305.183086781715</v>
      </c>
    </row>
    <row r="7" spans="2:8" ht="14.25" customHeight="1" x14ac:dyDescent="0.2">
      <c r="B7" s="11" t="s">
        <v>247</v>
      </c>
      <c r="C7" s="133">
        <f>Calcs!G38</f>
        <v>-2609</v>
      </c>
      <c r="D7" s="133">
        <f>Calcs!H38</f>
        <v>-576.59086400000524</v>
      </c>
      <c r="E7" s="133">
        <f>Calcs!I38</f>
        <v>1139.6215664840784</v>
      </c>
      <c r="F7" s="133">
        <f>Calcs!J38</f>
        <v>2632.7573081529663</v>
      </c>
      <c r="G7" s="133">
        <f>Calcs!K38</f>
        <v>2740.1699829123318</v>
      </c>
      <c r="H7" s="134">
        <f>Calcs!L38</f>
        <v>660.70129347141119</v>
      </c>
    </row>
    <row r="8" spans="2:8" ht="14.25" customHeight="1" x14ac:dyDescent="0.2">
      <c r="B8" s="15" t="s">
        <v>248</v>
      </c>
      <c r="C8" s="331">
        <f t="shared" ref="C8:H8" si="0">SUM(C5:C7)</f>
        <v>21891</v>
      </c>
      <c r="D8" s="331">
        <f t="shared" ca="1" si="0"/>
        <v>29594.051822479905</v>
      </c>
      <c r="E8" s="331">
        <f t="shared" ca="1" si="0"/>
        <v>30691.6510074937</v>
      </c>
      <c r="F8" s="331">
        <f t="shared" ca="1" si="0"/>
        <v>36556.967087754427</v>
      </c>
      <c r="G8" s="331">
        <f t="shared" ca="1" si="0"/>
        <v>40155.007662466953</v>
      </c>
      <c r="H8" s="119">
        <f t="shared" ca="1" si="0"/>
        <v>41313.810110848484</v>
      </c>
    </row>
    <row r="9" spans="2:8" ht="14.25" customHeight="1" x14ac:dyDescent="0.2">
      <c r="B9" s="11"/>
      <c r="C9" s="332"/>
      <c r="D9" s="333"/>
      <c r="E9" s="333"/>
      <c r="F9" s="333"/>
      <c r="H9" s="72"/>
    </row>
    <row r="10" spans="2:8" ht="14.25" customHeight="1" x14ac:dyDescent="0.2">
      <c r="B10" s="15" t="s">
        <v>249</v>
      </c>
      <c r="C10" s="127"/>
      <c r="D10" s="334"/>
      <c r="E10" s="334"/>
      <c r="F10" s="334"/>
      <c r="G10" s="334"/>
      <c r="H10" s="74"/>
    </row>
    <row r="11" spans="2:8" ht="14.25" customHeight="1" x14ac:dyDescent="0.2">
      <c r="B11" s="11" t="s">
        <v>250</v>
      </c>
      <c r="C11" s="138">
        <f>Calcs!G15</f>
        <v>-9955</v>
      </c>
      <c r="D11" s="138">
        <f>Calcs!H15</f>
        <v>-10580.420479999999</v>
      </c>
      <c r="E11" s="138">
        <f>Calcs!I15</f>
        <v>-11192.28224427</v>
      </c>
      <c r="F11" s="138">
        <f>Calcs!J15</f>
        <v>-11628.502266166448</v>
      </c>
      <c r="G11" s="138">
        <f>Calcs!K15</f>
        <v>-12164.093933873839</v>
      </c>
      <c r="H11" s="73">
        <f>Calcs!L15</f>
        <v>-12718.536300556127</v>
      </c>
    </row>
    <row r="12" spans="2:8" ht="14.25" customHeight="1" x14ac:dyDescent="0.2">
      <c r="B12" s="11" t="s">
        <v>251</v>
      </c>
      <c r="C12" s="133">
        <f>Calcs!G60</f>
        <v>-2881</v>
      </c>
      <c r="D12" s="133">
        <f>Calcs!H60</f>
        <v>9881.9906719999781</v>
      </c>
      <c r="E12" s="133">
        <f>Calcs!I60</f>
        <v>3433.3957716460209</v>
      </c>
      <c r="F12" s="133">
        <f>Calcs!J60</f>
        <v>8214.2026609453023</v>
      </c>
      <c r="G12" s="133">
        <f>Calcs!K60</f>
        <v>5747.9516446423222</v>
      </c>
      <c r="H12" s="134">
        <f>Calcs!L60</f>
        <v>6002.4341270362347</v>
      </c>
    </row>
    <row r="13" spans="2:8" ht="14.25" customHeight="1" x14ac:dyDescent="0.2">
      <c r="B13" s="15" t="s">
        <v>252</v>
      </c>
      <c r="C13" s="335">
        <f t="shared" ref="C13:H13" si="1">SUM(C11:C12)</f>
        <v>-12836</v>
      </c>
      <c r="D13" s="335">
        <f t="shared" si="1"/>
        <v>-698.42980800002078</v>
      </c>
      <c r="E13" s="335">
        <f t="shared" si="1"/>
        <v>-7758.886472623979</v>
      </c>
      <c r="F13" s="335">
        <f t="shared" si="1"/>
        <v>-3414.2996052211456</v>
      </c>
      <c r="G13" s="335">
        <f t="shared" si="1"/>
        <v>-6416.1422892315168</v>
      </c>
      <c r="H13" s="207">
        <f t="shared" si="1"/>
        <v>-6716.1021735198919</v>
      </c>
    </row>
    <row r="14" spans="2:8" ht="14.25" customHeight="1" x14ac:dyDescent="0.2">
      <c r="B14" s="15"/>
      <c r="C14" s="334"/>
      <c r="D14" s="334"/>
      <c r="E14" s="334"/>
      <c r="F14" s="334"/>
      <c r="G14" s="334"/>
      <c r="H14" s="74"/>
    </row>
    <row r="15" spans="2:8" ht="14.25" customHeight="1" x14ac:dyDescent="0.2">
      <c r="B15" s="15" t="s">
        <v>253</v>
      </c>
      <c r="C15" s="334"/>
      <c r="D15" s="250"/>
      <c r="E15" s="250"/>
      <c r="F15" s="250"/>
      <c r="G15" s="250"/>
      <c r="H15" s="251"/>
    </row>
    <row r="16" spans="2:8" ht="14.25" customHeight="1" x14ac:dyDescent="0.2">
      <c r="B16" s="11" t="s">
        <v>184</v>
      </c>
      <c r="C16" s="334"/>
      <c r="D16" s="284">
        <f>'Balance Sheet'!H36-'Balance Sheet'!G36</f>
        <v>-1000</v>
      </c>
      <c r="E16" s="284">
        <f>'Balance Sheet'!I36-'Balance Sheet'!H36</f>
        <v>0</v>
      </c>
      <c r="F16" s="284">
        <f>'Balance Sheet'!J36-'Balance Sheet'!I36</f>
        <v>0</v>
      </c>
      <c r="G16" s="284">
        <f>'Balance Sheet'!K36-'Balance Sheet'!J36</f>
        <v>0</v>
      </c>
      <c r="H16" s="285">
        <f>'Balance Sheet'!L36-'Balance Sheet'!K36</f>
        <v>0</v>
      </c>
    </row>
    <row r="17" spans="2:8" ht="14.25" customHeight="1" x14ac:dyDescent="0.2">
      <c r="B17" s="11" t="s">
        <v>184</v>
      </c>
      <c r="C17" s="334"/>
      <c r="D17" s="284">
        <f>'Balance Sheet'!H37-'Balance Sheet'!G37</f>
        <v>-1800</v>
      </c>
      <c r="E17" s="284">
        <f>'Balance Sheet'!I37-'Balance Sheet'!H37</f>
        <v>0</v>
      </c>
      <c r="F17" s="284">
        <f>'Balance Sheet'!J37-'Balance Sheet'!I37</f>
        <v>0</v>
      </c>
      <c r="G17" s="284">
        <f>'Balance Sheet'!K37-'Balance Sheet'!J37</f>
        <v>0</v>
      </c>
      <c r="H17" s="285">
        <f>'Balance Sheet'!L37-'Balance Sheet'!K37</f>
        <v>0</v>
      </c>
    </row>
    <row r="18" spans="2:8" ht="14.25" customHeight="1" x14ac:dyDescent="0.2">
      <c r="B18" s="11" t="s">
        <v>184</v>
      </c>
      <c r="C18" s="334"/>
      <c r="D18" s="284">
        <f>'Balance Sheet'!H38-'Balance Sheet'!G38</f>
        <v>-1200</v>
      </c>
      <c r="E18" s="284">
        <f>'Balance Sheet'!I38-'Balance Sheet'!H38</f>
        <v>0</v>
      </c>
      <c r="F18" s="284">
        <f>'Balance Sheet'!J38-'Balance Sheet'!I38</f>
        <v>0</v>
      </c>
      <c r="G18" s="284">
        <f>'Balance Sheet'!K38-'Balance Sheet'!J38</f>
        <v>0</v>
      </c>
      <c r="H18" s="285">
        <f>'Balance Sheet'!L38-'Balance Sheet'!K38</f>
        <v>0</v>
      </c>
    </row>
    <row r="19" spans="2:8" ht="14.25" customHeight="1" x14ac:dyDescent="0.2">
      <c r="B19" s="11" t="s">
        <v>185</v>
      </c>
      <c r="C19" s="334"/>
      <c r="D19" s="284">
        <f>'Balance Sheet'!H39-'Balance Sheet'!G39</f>
        <v>0</v>
      </c>
      <c r="E19" s="284">
        <f>'Balance Sheet'!I39-'Balance Sheet'!H39</f>
        <v>0</v>
      </c>
      <c r="F19" s="284">
        <f>'Balance Sheet'!J39-'Balance Sheet'!I39</f>
        <v>-4000</v>
      </c>
      <c r="G19" s="284">
        <f>'Balance Sheet'!K39-'Balance Sheet'!J39</f>
        <v>0</v>
      </c>
      <c r="H19" s="285">
        <f>'Balance Sheet'!L39-'Balance Sheet'!K39</f>
        <v>0</v>
      </c>
    </row>
    <row r="20" spans="2:8" ht="14.25" customHeight="1" x14ac:dyDescent="0.2">
      <c r="B20" s="11" t="s">
        <v>186</v>
      </c>
      <c r="C20" s="334"/>
      <c r="D20" s="284">
        <f>'Balance Sheet'!H40-'Balance Sheet'!G40</f>
        <v>0</v>
      </c>
      <c r="E20" s="284">
        <f>'Balance Sheet'!I40-'Balance Sheet'!H40</f>
        <v>0</v>
      </c>
      <c r="F20" s="284">
        <f>'Balance Sheet'!J40-'Balance Sheet'!I40</f>
        <v>-1750</v>
      </c>
      <c r="G20" s="284">
        <f>'Balance Sheet'!K40-'Balance Sheet'!J40</f>
        <v>0</v>
      </c>
      <c r="H20" s="285">
        <f>'Balance Sheet'!L40-'Balance Sheet'!K40</f>
        <v>0</v>
      </c>
    </row>
    <row r="21" spans="2:8" ht="14.25" customHeight="1" x14ac:dyDescent="0.2">
      <c r="B21" s="11" t="s">
        <v>187</v>
      </c>
      <c r="C21" s="334"/>
      <c r="D21" s="284">
        <f>'Balance Sheet'!H41-'Balance Sheet'!G41</f>
        <v>0</v>
      </c>
      <c r="E21" s="284">
        <f>'Balance Sheet'!I41-'Balance Sheet'!H41</f>
        <v>0</v>
      </c>
      <c r="F21" s="284">
        <f>'Balance Sheet'!J41-'Balance Sheet'!I41</f>
        <v>-1500</v>
      </c>
      <c r="G21" s="284">
        <f>'Balance Sheet'!K41-'Balance Sheet'!J41</f>
        <v>0</v>
      </c>
      <c r="H21" s="285">
        <f>'Balance Sheet'!L41-'Balance Sheet'!K41</f>
        <v>0</v>
      </c>
    </row>
    <row r="22" spans="2:8" ht="14.25" customHeight="1" x14ac:dyDescent="0.2">
      <c r="B22" s="11" t="s">
        <v>188</v>
      </c>
      <c r="C22" s="334"/>
      <c r="D22" s="284">
        <f>'Balance Sheet'!H42-'Balance Sheet'!G42</f>
        <v>0</v>
      </c>
      <c r="E22" s="284">
        <f>'Balance Sheet'!I42-'Balance Sheet'!H42</f>
        <v>0</v>
      </c>
      <c r="F22" s="284">
        <f>'Balance Sheet'!J42-'Balance Sheet'!I42</f>
        <v>-1500</v>
      </c>
      <c r="G22" s="284">
        <f>'Balance Sheet'!K42-'Balance Sheet'!J42</f>
        <v>0</v>
      </c>
      <c r="H22" s="285">
        <f>'Balance Sheet'!L42-'Balance Sheet'!K42</f>
        <v>0</v>
      </c>
    </row>
    <row r="23" spans="2:8" ht="14.25" customHeight="1" x14ac:dyDescent="0.2">
      <c r="B23" s="11" t="s">
        <v>186</v>
      </c>
      <c r="C23" s="334"/>
      <c r="D23" s="284">
        <f>'Balance Sheet'!H43-'Balance Sheet'!G43</f>
        <v>0</v>
      </c>
      <c r="E23" s="284">
        <f>'Balance Sheet'!I43-'Balance Sheet'!H43</f>
        <v>0</v>
      </c>
      <c r="F23" s="284">
        <f>'Balance Sheet'!J43-'Balance Sheet'!I43</f>
        <v>-900</v>
      </c>
      <c r="G23" s="284">
        <f>'Balance Sheet'!K43-'Balance Sheet'!J43</f>
        <v>0</v>
      </c>
      <c r="H23" s="285">
        <f>'Balance Sheet'!L43-'Balance Sheet'!K43</f>
        <v>0</v>
      </c>
    </row>
    <row r="24" spans="2:8" ht="14.25" customHeight="1" x14ac:dyDescent="0.2">
      <c r="B24" s="11" t="s">
        <v>187</v>
      </c>
      <c r="C24" s="334"/>
      <c r="D24" s="284">
        <f>'Balance Sheet'!H44-'Balance Sheet'!G44</f>
        <v>0</v>
      </c>
      <c r="E24" s="284">
        <f>'Balance Sheet'!I44-'Balance Sheet'!H44</f>
        <v>0</v>
      </c>
      <c r="F24" s="284">
        <f>'Balance Sheet'!J44-'Balance Sheet'!I44</f>
        <v>-1000</v>
      </c>
      <c r="G24" s="284">
        <f>'Balance Sheet'!K44-'Balance Sheet'!J44</f>
        <v>0</v>
      </c>
      <c r="H24" s="285">
        <f>'Balance Sheet'!L44-'Balance Sheet'!K44</f>
        <v>0</v>
      </c>
    </row>
    <row r="25" spans="2:8" ht="14.25" customHeight="1" x14ac:dyDescent="0.2">
      <c r="B25" s="11" t="s">
        <v>189</v>
      </c>
      <c r="C25" s="334"/>
      <c r="D25" s="284">
        <f>'Balance Sheet'!H45-'Balance Sheet'!G45</f>
        <v>0</v>
      </c>
      <c r="E25" s="284">
        <f>'Balance Sheet'!I45-'Balance Sheet'!H45</f>
        <v>0</v>
      </c>
      <c r="F25" s="284">
        <f>'Balance Sheet'!J45-'Balance Sheet'!I45</f>
        <v>-827</v>
      </c>
      <c r="G25" s="284">
        <f>'Balance Sheet'!K45-'Balance Sheet'!J45</f>
        <v>0</v>
      </c>
      <c r="H25" s="285">
        <f>'Balance Sheet'!L45-'Balance Sheet'!K45</f>
        <v>0</v>
      </c>
    </row>
    <row r="26" spans="2:8" ht="14.25" customHeight="1" x14ac:dyDescent="0.2">
      <c r="B26" s="11" t="s">
        <v>187</v>
      </c>
      <c r="C26" s="334"/>
      <c r="D26" s="284">
        <f>'Balance Sheet'!H46-'Balance Sheet'!G46</f>
        <v>0</v>
      </c>
      <c r="E26" s="284">
        <f>'Balance Sheet'!I46-'Balance Sheet'!H46</f>
        <v>0</v>
      </c>
      <c r="F26" s="284">
        <f>'Balance Sheet'!J46-'Balance Sheet'!I46</f>
        <v>-2475</v>
      </c>
      <c r="G26" s="284">
        <f>'Balance Sheet'!K46-'Balance Sheet'!J46</f>
        <v>0</v>
      </c>
      <c r="H26" s="285">
        <f>'Balance Sheet'!L46-'Balance Sheet'!K46</f>
        <v>0</v>
      </c>
    </row>
    <row r="27" spans="2:8" ht="14.25" customHeight="1" x14ac:dyDescent="0.2">
      <c r="B27" s="11" t="s">
        <v>190</v>
      </c>
      <c r="C27" s="334"/>
      <c r="D27" s="284">
        <f>'Balance Sheet'!H47-'Balance Sheet'!G47</f>
        <v>0</v>
      </c>
      <c r="E27" s="284">
        <f>'Balance Sheet'!I47-'Balance Sheet'!H47</f>
        <v>0</v>
      </c>
      <c r="F27" s="284">
        <f>'Balance Sheet'!J47-'Balance Sheet'!I47</f>
        <v>0</v>
      </c>
      <c r="G27" s="284">
        <f>'Balance Sheet'!K47-'Balance Sheet'!J47</f>
        <v>-500</v>
      </c>
      <c r="H27" s="285">
        <f>'Balance Sheet'!L47-'Balance Sheet'!K47</f>
        <v>0</v>
      </c>
    </row>
    <row r="28" spans="2:8" ht="14.25" customHeight="1" x14ac:dyDescent="0.2">
      <c r="B28" s="11" t="s">
        <v>190</v>
      </c>
      <c r="C28" s="334"/>
      <c r="D28" s="284">
        <f>'Balance Sheet'!H48-'Balance Sheet'!G48</f>
        <v>0</v>
      </c>
      <c r="E28" s="284">
        <f>'Balance Sheet'!I48-'Balance Sheet'!H48</f>
        <v>0</v>
      </c>
      <c r="F28" s="284">
        <f>'Balance Sheet'!J48-'Balance Sheet'!I48</f>
        <v>0</v>
      </c>
      <c r="G28" s="284">
        <f>'Balance Sheet'!K48-'Balance Sheet'!J48</f>
        <v>-1000</v>
      </c>
      <c r="H28" s="285">
        <f>'Balance Sheet'!L48-'Balance Sheet'!K48</f>
        <v>0</v>
      </c>
    </row>
    <row r="29" spans="2:8" ht="14.25" customHeight="1" x14ac:dyDescent="0.2">
      <c r="B29" s="11" t="s">
        <v>190</v>
      </c>
      <c r="C29" s="334"/>
      <c r="D29" s="284">
        <f>'Balance Sheet'!H49-'Balance Sheet'!G49</f>
        <v>0</v>
      </c>
      <c r="E29" s="284">
        <f>'Balance Sheet'!I49-'Balance Sheet'!H49</f>
        <v>0</v>
      </c>
      <c r="F29" s="284">
        <f>'Balance Sheet'!J49-'Balance Sheet'!I49</f>
        <v>0</v>
      </c>
      <c r="G29" s="284">
        <f>'Balance Sheet'!K49-'Balance Sheet'!J49</f>
        <v>-2350</v>
      </c>
      <c r="H29" s="285">
        <f>'Balance Sheet'!L49-'Balance Sheet'!K49</f>
        <v>0</v>
      </c>
    </row>
    <row r="30" spans="2:8" ht="14.25" customHeight="1" x14ac:dyDescent="0.2">
      <c r="B30" s="11" t="s">
        <v>191</v>
      </c>
      <c r="C30" s="334"/>
      <c r="D30" s="284">
        <f>'Balance Sheet'!H50-'Balance Sheet'!G50</f>
        <v>0</v>
      </c>
      <c r="E30" s="284">
        <f>'Balance Sheet'!I50-'Balance Sheet'!H50</f>
        <v>0</v>
      </c>
      <c r="F30" s="284">
        <f>'Balance Sheet'!J50-'Balance Sheet'!I50</f>
        <v>0</v>
      </c>
      <c r="G30" s="284">
        <f>'Balance Sheet'!K50-'Balance Sheet'!J50</f>
        <v>-705</v>
      </c>
      <c r="H30" s="285">
        <f>'Balance Sheet'!L50-'Balance Sheet'!K50</f>
        <v>0</v>
      </c>
    </row>
    <row r="31" spans="2:8" ht="14.25" customHeight="1" x14ac:dyDescent="0.2">
      <c r="B31" s="11" t="s">
        <v>192</v>
      </c>
      <c r="C31" s="334"/>
      <c r="D31" s="284">
        <f>'Balance Sheet'!H51-'Balance Sheet'!G51</f>
        <v>0</v>
      </c>
      <c r="E31" s="284">
        <f>'Balance Sheet'!I51-'Balance Sheet'!H51</f>
        <v>0</v>
      </c>
      <c r="F31" s="284">
        <f>'Balance Sheet'!J51-'Balance Sheet'!I51</f>
        <v>0</v>
      </c>
      <c r="G31" s="284">
        <f>'Balance Sheet'!K51-'Balance Sheet'!J51</f>
        <v>-700</v>
      </c>
      <c r="H31" s="285">
        <f>'Balance Sheet'!L51-'Balance Sheet'!K51</f>
        <v>0</v>
      </c>
    </row>
    <row r="32" spans="2:8" ht="14.25" customHeight="1" x14ac:dyDescent="0.2">
      <c r="B32" s="11" t="s">
        <v>193</v>
      </c>
      <c r="C32" s="334"/>
      <c r="D32" s="284">
        <f>'Balance Sheet'!H52-'Balance Sheet'!G52</f>
        <v>0</v>
      </c>
      <c r="E32" s="284">
        <f>'Balance Sheet'!I52-'Balance Sheet'!H52</f>
        <v>0</v>
      </c>
      <c r="F32" s="284">
        <f>'Balance Sheet'!J52-'Balance Sheet'!I52</f>
        <v>0</v>
      </c>
      <c r="G32" s="284">
        <f>'Balance Sheet'!K52-'Balance Sheet'!J52</f>
        <v>-500</v>
      </c>
      <c r="H32" s="285">
        <f>'Balance Sheet'!L52-'Balance Sheet'!K52</f>
        <v>0</v>
      </c>
    </row>
    <row r="33" spans="2:8" ht="14.25" customHeight="1" x14ac:dyDescent="0.2">
      <c r="B33" s="11" t="s">
        <v>193</v>
      </c>
      <c r="C33" s="334"/>
      <c r="D33" s="284">
        <f>'Balance Sheet'!H53-'Balance Sheet'!G53</f>
        <v>0</v>
      </c>
      <c r="E33" s="284">
        <f>'Balance Sheet'!I53-'Balance Sheet'!H53</f>
        <v>0</v>
      </c>
      <c r="F33" s="284">
        <f>'Balance Sheet'!J53-'Balance Sheet'!I53</f>
        <v>0</v>
      </c>
      <c r="G33" s="284">
        <f>'Balance Sheet'!K53-'Balance Sheet'!J53</f>
        <v>-500</v>
      </c>
      <c r="H33" s="285">
        <f>'Balance Sheet'!L53-'Balance Sheet'!K53</f>
        <v>0</v>
      </c>
    </row>
    <row r="34" spans="2:8" ht="14.25" customHeight="1" x14ac:dyDescent="0.2">
      <c r="B34" s="11" t="s">
        <v>194</v>
      </c>
      <c r="C34" s="334"/>
      <c r="D34" s="284">
        <f>'Balance Sheet'!H54-'Balance Sheet'!G54</f>
        <v>0</v>
      </c>
      <c r="E34" s="284">
        <f>'Balance Sheet'!I54-'Balance Sheet'!H54</f>
        <v>0</v>
      </c>
      <c r="F34" s="284">
        <f>'Balance Sheet'!J54-'Balance Sheet'!I54</f>
        <v>0</v>
      </c>
      <c r="G34" s="284">
        <f>'Balance Sheet'!K54-'Balance Sheet'!J54</f>
        <v>-1000</v>
      </c>
      <c r="H34" s="285">
        <f>'Balance Sheet'!L54-'Balance Sheet'!K54</f>
        <v>0</v>
      </c>
    </row>
    <row r="35" spans="2:8" ht="14.25" customHeight="1" x14ac:dyDescent="0.2">
      <c r="B35" s="11" t="s">
        <v>193</v>
      </c>
      <c r="C35" s="334"/>
      <c r="D35" s="284">
        <f>'Balance Sheet'!H55-'Balance Sheet'!G55</f>
        <v>0</v>
      </c>
      <c r="E35" s="284">
        <f>'Balance Sheet'!I55-'Balance Sheet'!H55</f>
        <v>0</v>
      </c>
      <c r="F35" s="284">
        <f>'Balance Sheet'!J55-'Balance Sheet'!I55</f>
        <v>0</v>
      </c>
      <c r="G35" s="284">
        <f>'Balance Sheet'!K55-'Balance Sheet'!J55</f>
        <v>-500</v>
      </c>
      <c r="H35" s="285">
        <f>'Balance Sheet'!L55-'Balance Sheet'!K55</f>
        <v>0</v>
      </c>
    </row>
    <row r="36" spans="2:8" ht="14.25" customHeight="1" x14ac:dyDescent="0.2">
      <c r="B36" s="11" t="s">
        <v>195</v>
      </c>
      <c r="C36" s="334"/>
      <c r="D36" s="284">
        <f>'Balance Sheet'!H56-'Balance Sheet'!G56</f>
        <v>0</v>
      </c>
      <c r="E36" s="284">
        <f>'Balance Sheet'!I56-'Balance Sheet'!H56</f>
        <v>0</v>
      </c>
      <c r="F36" s="284">
        <f>'Balance Sheet'!J56-'Balance Sheet'!I56</f>
        <v>0</v>
      </c>
      <c r="G36" s="284">
        <f>'Balance Sheet'!K56-'Balance Sheet'!J56</f>
        <v>0</v>
      </c>
      <c r="H36" s="285">
        <f>'Balance Sheet'!L56-'Balance Sheet'!K56</f>
        <v>-7000</v>
      </c>
    </row>
    <row r="37" spans="2:8" ht="14.25" customHeight="1" x14ac:dyDescent="0.2">
      <c r="B37" s="11" t="s">
        <v>196</v>
      </c>
      <c r="C37" s="334"/>
      <c r="D37" s="284">
        <f>'Balance Sheet'!H57-'Balance Sheet'!G57</f>
        <v>0</v>
      </c>
      <c r="E37" s="284">
        <f>'Balance Sheet'!I57-'Balance Sheet'!H57</f>
        <v>0</v>
      </c>
      <c r="F37" s="284">
        <f>'Balance Sheet'!J57-'Balance Sheet'!I57</f>
        <v>0</v>
      </c>
      <c r="G37" s="284">
        <f>'Balance Sheet'!K57-'Balance Sheet'!J57</f>
        <v>0</v>
      </c>
      <c r="H37" s="285">
        <f>'Balance Sheet'!L57-'Balance Sheet'!K57</f>
        <v>-500</v>
      </c>
    </row>
    <row r="38" spans="2:8" ht="14.25" customHeight="1" x14ac:dyDescent="0.2">
      <c r="B38" s="11" t="s">
        <v>197</v>
      </c>
      <c r="C38" s="334"/>
      <c r="D38" s="284">
        <f>'Balance Sheet'!H58-'Balance Sheet'!G58</f>
        <v>0</v>
      </c>
      <c r="E38" s="284">
        <f>'Balance Sheet'!I58-'Balance Sheet'!H58</f>
        <v>0</v>
      </c>
      <c r="F38" s="284">
        <f>'Balance Sheet'!J58-'Balance Sheet'!I58</f>
        <v>0</v>
      </c>
      <c r="G38" s="284">
        <f>'Balance Sheet'!K58-'Balance Sheet'!J58</f>
        <v>0</v>
      </c>
      <c r="H38" s="285">
        <f>'Balance Sheet'!L58-'Balance Sheet'!K58</f>
        <v>0</v>
      </c>
    </row>
    <row r="39" spans="2:8" ht="14.25" customHeight="1" x14ac:dyDescent="0.2">
      <c r="B39" s="11" t="s">
        <v>197</v>
      </c>
      <c r="C39" s="334"/>
      <c r="D39" s="284">
        <f>'Balance Sheet'!H59-'Balance Sheet'!G59</f>
        <v>0</v>
      </c>
      <c r="E39" s="284">
        <f>'Balance Sheet'!I59-'Balance Sheet'!H59</f>
        <v>0</v>
      </c>
      <c r="F39" s="284">
        <f>'Balance Sheet'!J59-'Balance Sheet'!I59</f>
        <v>0</v>
      </c>
      <c r="G39" s="284">
        <f>'Balance Sheet'!K59-'Balance Sheet'!J59</f>
        <v>0</v>
      </c>
      <c r="H39" s="285">
        <f>'Balance Sheet'!L59-'Balance Sheet'!K59</f>
        <v>0</v>
      </c>
    </row>
    <row r="40" spans="2:8" ht="14.25" customHeight="1" x14ac:dyDescent="0.2">
      <c r="B40" s="11" t="s">
        <v>197</v>
      </c>
      <c r="C40" s="334"/>
      <c r="D40" s="284">
        <f>'Balance Sheet'!H60-'Balance Sheet'!G60</f>
        <v>0</v>
      </c>
      <c r="E40" s="284">
        <f>'Balance Sheet'!I60-'Balance Sheet'!H60</f>
        <v>0</v>
      </c>
      <c r="F40" s="284">
        <f>'Balance Sheet'!J60-'Balance Sheet'!I60</f>
        <v>0</v>
      </c>
      <c r="G40" s="284">
        <f>'Balance Sheet'!K60-'Balance Sheet'!J60</f>
        <v>0</v>
      </c>
      <c r="H40" s="285">
        <f>'Balance Sheet'!L60-'Balance Sheet'!K60</f>
        <v>0</v>
      </c>
    </row>
    <row r="41" spans="2:8" ht="14.25" customHeight="1" x14ac:dyDescent="0.2">
      <c r="B41" s="11" t="s">
        <v>197</v>
      </c>
      <c r="C41" s="334"/>
      <c r="D41" s="284">
        <f>'Balance Sheet'!H61-'Balance Sheet'!G61</f>
        <v>0</v>
      </c>
      <c r="E41" s="284">
        <f>'Balance Sheet'!I61-'Balance Sheet'!H61</f>
        <v>0</v>
      </c>
      <c r="F41" s="284">
        <f>'Balance Sheet'!J61-'Balance Sheet'!I61</f>
        <v>0</v>
      </c>
      <c r="G41" s="284">
        <f>'Balance Sheet'!K61-'Balance Sheet'!J61</f>
        <v>0</v>
      </c>
      <c r="H41" s="285">
        <f>'Balance Sheet'!L61-'Balance Sheet'!K61</f>
        <v>0</v>
      </c>
    </row>
    <row r="42" spans="2:8" ht="14.25" customHeight="1" x14ac:dyDescent="0.2">
      <c r="B42" s="11" t="s">
        <v>198</v>
      </c>
      <c r="C42" s="334"/>
      <c r="D42" s="284">
        <f>'Balance Sheet'!H62-'Balance Sheet'!G62</f>
        <v>0</v>
      </c>
      <c r="E42" s="284">
        <f>'Balance Sheet'!I62-'Balance Sheet'!H62</f>
        <v>0</v>
      </c>
      <c r="F42" s="284">
        <f>'Balance Sheet'!J62-'Balance Sheet'!I62</f>
        <v>0</v>
      </c>
      <c r="G42" s="284">
        <f>'Balance Sheet'!K62-'Balance Sheet'!J62</f>
        <v>0</v>
      </c>
      <c r="H42" s="285">
        <f>'Balance Sheet'!L62-'Balance Sheet'!K62</f>
        <v>0</v>
      </c>
    </row>
    <row r="43" spans="2:8" ht="14.25" customHeight="1" x14ac:dyDescent="0.2">
      <c r="B43" s="11" t="s">
        <v>199</v>
      </c>
      <c r="C43" s="334"/>
      <c r="D43" s="284">
        <f>'Balance Sheet'!H63-'Balance Sheet'!G63</f>
        <v>0</v>
      </c>
      <c r="E43" s="284">
        <f>'Balance Sheet'!I63-'Balance Sheet'!H63</f>
        <v>0</v>
      </c>
      <c r="F43" s="284">
        <f>'Balance Sheet'!J63-'Balance Sheet'!I63</f>
        <v>0</v>
      </c>
      <c r="G43" s="284">
        <f>'Balance Sheet'!K63-'Balance Sheet'!J63</f>
        <v>0</v>
      </c>
      <c r="H43" s="285">
        <f>'Balance Sheet'!L63-'Balance Sheet'!K63</f>
        <v>0</v>
      </c>
    </row>
    <row r="44" spans="2:8" ht="14.25" customHeight="1" x14ac:dyDescent="0.2">
      <c r="B44" s="11" t="s">
        <v>199</v>
      </c>
      <c r="C44" s="334"/>
      <c r="D44" s="284">
        <f>'Balance Sheet'!H64-'Balance Sheet'!G64</f>
        <v>0</v>
      </c>
      <c r="E44" s="284">
        <f>'Balance Sheet'!I64-'Balance Sheet'!H64</f>
        <v>0</v>
      </c>
      <c r="F44" s="284">
        <f>'Balance Sheet'!J64-'Balance Sheet'!I64</f>
        <v>0</v>
      </c>
      <c r="G44" s="284">
        <f>'Balance Sheet'!K64-'Balance Sheet'!J64</f>
        <v>0</v>
      </c>
      <c r="H44" s="285">
        <f>'Balance Sheet'!L64-'Balance Sheet'!K64</f>
        <v>0</v>
      </c>
    </row>
    <row r="45" spans="2:8" ht="14.25" customHeight="1" x14ac:dyDescent="0.2">
      <c r="B45" s="11" t="s">
        <v>200</v>
      </c>
      <c r="C45" s="334"/>
      <c r="D45" s="284">
        <f>'Balance Sheet'!H65-'Balance Sheet'!G65</f>
        <v>0</v>
      </c>
      <c r="E45" s="284">
        <f>'Balance Sheet'!I65-'Balance Sheet'!H65</f>
        <v>0</v>
      </c>
      <c r="F45" s="284">
        <f>'Balance Sheet'!J65-'Balance Sheet'!I65</f>
        <v>0</v>
      </c>
      <c r="G45" s="284">
        <f>'Balance Sheet'!K65-'Balance Sheet'!J65</f>
        <v>0</v>
      </c>
      <c r="H45" s="285">
        <f>'Balance Sheet'!L65-'Balance Sheet'!K65</f>
        <v>0</v>
      </c>
    </row>
    <row r="46" spans="2:8" ht="14.25" customHeight="1" x14ac:dyDescent="0.2">
      <c r="B46" s="11" t="s">
        <v>201</v>
      </c>
      <c r="C46" s="334"/>
      <c r="D46" s="284">
        <f>'Balance Sheet'!H66-'Balance Sheet'!G66</f>
        <v>0</v>
      </c>
      <c r="E46" s="284">
        <f>'Balance Sheet'!I66-'Balance Sheet'!H66</f>
        <v>0</v>
      </c>
      <c r="F46" s="284">
        <f>'Balance Sheet'!J66-'Balance Sheet'!I66</f>
        <v>0</v>
      </c>
      <c r="G46" s="284">
        <f>'Balance Sheet'!K66-'Balance Sheet'!J66</f>
        <v>0</v>
      </c>
      <c r="H46" s="285">
        <f>'Balance Sheet'!L66-'Balance Sheet'!K66</f>
        <v>0</v>
      </c>
    </row>
    <row r="47" spans="2:8" ht="14.25" customHeight="1" x14ac:dyDescent="0.2">
      <c r="B47" s="11" t="s">
        <v>202</v>
      </c>
      <c r="C47" s="334"/>
      <c r="D47" s="284">
        <f>'Balance Sheet'!H67-'Balance Sheet'!G67</f>
        <v>0</v>
      </c>
      <c r="E47" s="284">
        <f>'Balance Sheet'!I67-'Balance Sheet'!H67</f>
        <v>0</v>
      </c>
      <c r="F47" s="284">
        <f>'Balance Sheet'!J67-'Balance Sheet'!I67</f>
        <v>0</v>
      </c>
      <c r="G47" s="284">
        <f>'Balance Sheet'!K67-'Balance Sheet'!J67</f>
        <v>0</v>
      </c>
      <c r="H47" s="285">
        <f>'Balance Sheet'!L67-'Balance Sheet'!K67</f>
        <v>0</v>
      </c>
    </row>
    <row r="48" spans="2:8" ht="14.25" customHeight="1" x14ac:dyDescent="0.2">
      <c r="B48" s="11" t="s">
        <v>202</v>
      </c>
      <c r="C48" s="334"/>
      <c r="D48" s="284">
        <f>'Balance Sheet'!H68-'Balance Sheet'!G68</f>
        <v>0</v>
      </c>
      <c r="E48" s="284">
        <f>'Balance Sheet'!I68-'Balance Sheet'!H68</f>
        <v>0</v>
      </c>
      <c r="F48" s="284">
        <f>'Balance Sheet'!J68-'Balance Sheet'!I68</f>
        <v>0</v>
      </c>
      <c r="G48" s="284">
        <f>'Balance Sheet'!K68-'Balance Sheet'!J68</f>
        <v>0</v>
      </c>
      <c r="H48" s="285">
        <f>'Balance Sheet'!L68-'Balance Sheet'!K68</f>
        <v>0</v>
      </c>
    </row>
    <row r="49" spans="2:8" ht="14.25" customHeight="1" x14ac:dyDescent="0.2">
      <c r="B49" s="11" t="s">
        <v>202</v>
      </c>
      <c r="C49" s="334"/>
      <c r="D49" s="284">
        <f>'Balance Sheet'!H69-'Balance Sheet'!G69</f>
        <v>0</v>
      </c>
      <c r="E49" s="284">
        <f>'Balance Sheet'!I69-'Balance Sheet'!H69</f>
        <v>0</v>
      </c>
      <c r="F49" s="284">
        <f>'Balance Sheet'!J69-'Balance Sheet'!I69</f>
        <v>0</v>
      </c>
      <c r="G49" s="284">
        <f>'Balance Sheet'!K69-'Balance Sheet'!J69</f>
        <v>0</v>
      </c>
      <c r="H49" s="285">
        <f>'Balance Sheet'!L69-'Balance Sheet'!K69</f>
        <v>0</v>
      </c>
    </row>
    <row r="50" spans="2:8" ht="14.25" customHeight="1" x14ac:dyDescent="0.2">
      <c r="B50" s="11" t="s">
        <v>202</v>
      </c>
      <c r="C50" s="334"/>
      <c r="D50" s="284">
        <f>'Balance Sheet'!H70-'Balance Sheet'!G70</f>
        <v>0</v>
      </c>
      <c r="E50" s="284">
        <f>'Balance Sheet'!I70-'Balance Sheet'!H70</f>
        <v>0</v>
      </c>
      <c r="F50" s="284">
        <f>'Balance Sheet'!J70-'Balance Sheet'!I70</f>
        <v>0</v>
      </c>
      <c r="G50" s="284">
        <f>'Balance Sheet'!K70-'Balance Sheet'!J70</f>
        <v>0</v>
      </c>
      <c r="H50" s="285">
        <f>'Balance Sheet'!L70-'Balance Sheet'!K70</f>
        <v>0</v>
      </c>
    </row>
    <row r="51" spans="2:8" ht="14.25" customHeight="1" x14ac:dyDescent="0.2">
      <c r="B51" s="11" t="s">
        <v>203</v>
      </c>
      <c r="C51" s="334"/>
      <c r="D51" s="284">
        <f>'Balance Sheet'!H71-'Balance Sheet'!G71</f>
        <v>0</v>
      </c>
      <c r="E51" s="284">
        <f>'Balance Sheet'!I71-'Balance Sheet'!H71</f>
        <v>0</v>
      </c>
      <c r="F51" s="284">
        <f>'Balance Sheet'!J71-'Balance Sheet'!I71</f>
        <v>0</v>
      </c>
      <c r="G51" s="284">
        <f>'Balance Sheet'!K71-'Balance Sheet'!J71</f>
        <v>0</v>
      </c>
      <c r="H51" s="285">
        <f>'Balance Sheet'!L71-'Balance Sheet'!K71</f>
        <v>0</v>
      </c>
    </row>
    <row r="52" spans="2:8" ht="14.25" customHeight="1" x14ac:dyDescent="0.2">
      <c r="B52" s="11" t="s">
        <v>203</v>
      </c>
      <c r="C52" s="334"/>
      <c r="D52" s="284">
        <f>'Balance Sheet'!H72-'Balance Sheet'!G72</f>
        <v>0</v>
      </c>
      <c r="E52" s="284">
        <f>'Balance Sheet'!I72-'Balance Sheet'!H72</f>
        <v>0</v>
      </c>
      <c r="F52" s="284">
        <f>'Balance Sheet'!J72-'Balance Sheet'!I72</f>
        <v>0</v>
      </c>
      <c r="G52" s="284">
        <f>'Balance Sheet'!K72-'Balance Sheet'!J72</f>
        <v>0</v>
      </c>
      <c r="H52" s="285">
        <f>'Balance Sheet'!L72-'Balance Sheet'!K72</f>
        <v>0</v>
      </c>
    </row>
    <row r="53" spans="2:8" ht="14.25" customHeight="1" x14ac:dyDescent="0.2">
      <c r="B53" s="11" t="s">
        <v>204</v>
      </c>
      <c r="C53" s="334"/>
      <c r="D53" s="284">
        <f>'Balance Sheet'!H73-'Balance Sheet'!G73</f>
        <v>0</v>
      </c>
      <c r="E53" s="284">
        <f>'Balance Sheet'!I73-'Balance Sheet'!H73</f>
        <v>0</v>
      </c>
      <c r="F53" s="284">
        <f>'Balance Sheet'!J73-'Balance Sheet'!I73</f>
        <v>0</v>
      </c>
      <c r="G53" s="284">
        <f>'Balance Sheet'!K73-'Balance Sheet'!J73</f>
        <v>0</v>
      </c>
      <c r="H53" s="285">
        <f>'Balance Sheet'!L73-'Balance Sheet'!K73</f>
        <v>0</v>
      </c>
    </row>
    <row r="54" spans="2:8" ht="14.25" customHeight="1" x14ac:dyDescent="0.2">
      <c r="B54" s="11" t="s">
        <v>204</v>
      </c>
      <c r="C54" s="334"/>
      <c r="D54" s="284">
        <f>'Balance Sheet'!H74-'Balance Sheet'!G74</f>
        <v>0</v>
      </c>
      <c r="E54" s="284">
        <f>'Balance Sheet'!I74-'Balance Sheet'!H74</f>
        <v>0</v>
      </c>
      <c r="F54" s="284">
        <f>'Balance Sheet'!J74-'Balance Sheet'!I74</f>
        <v>0</v>
      </c>
      <c r="G54" s="284">
        <f>'Balance Sheet'!K74-'Balance Sheet'!J74</f>
        <v>0</v>
      </c>
      <c r="H54" s="285">
        <f>'Balance Sheet'!L74-'Balance Sheet'!K74</f>
        <v>0</v>
      </c>
    </row>
    <row r="55" spans="2:8" ht="14.25" customHeight="1" x14ac:dyDescent="0.2">
      <c r="B55" s="11" t="s">
        <v>204</v>
      </c>
      <c r="C55" s="334"/>
      <c r="D55" s="284">
        <f>'Balance Sheet'!H75-'Balance Sheet'!G75</f>
        <v>0</v>
      </c>
      <c r="E55" s="284">
        <f>'Balance Sheet'!I75-'Balance Sheet'!H75</f>
        <v>0</v>
      </c>
      <c r="F55" s="284">
        <f>'Balance Sheet'!J75-'Balance Sheet'!I75</f>
        <v>0</v>
      </c>
      <c r="G55" s="284">
        <f>'Balance Sheet'!K75-'Balance Sheet'!J75</f>
        <v>0</v>
      </c>
      <c r="H55" s="285">
        <f>'Balance Sheet'!L75-'Balance Sheet'!K75</f>
        <v>0</v>
      </c>
    </row>
    <row r="56" spans="2:8" ht="14.25" customHeight="1" x14ac:dyDescent="0.2">
      <c r="B56" s="11" t="s">
        <v>117</v>
      </c>
      <c r="C56" s="334"/>
      <c r="D56" s="284">
        <f>'Balance Sheet'!H76-'Balance Sheet'!G76</f>
        <v>87</v>
      </c>
      <c r="E56" s="284">
        <f>'Balance Sheet'!I76-'Balance Sheet'!H76</f>
        <v>0</v>
      </c>
      <c r="F56" s="284">
        <f>'Balance Sheet'!J76-'Balance Sheet'!I76</f>
        <v>0</v>
      </c>
      <c r="G56" s="284">
        <f>'Balance Sheet'!K76-'Balance Sheet'!J76</f>
        <v>0</v>
      </c>
      <c r="H56" s="285">
        <f>'Balance Sheet'!L76-'Balance Sheet'!K76</f>
        <v>0</v>
      </c>
    </row>
    <row r="57" spans="2:8" ht="14.25" customHeight="1" x14ac:dyDescent="0.2">
      <c r="B57" s="11" t="s">
        <v>118</v>
      </c>
      <c r="C57" s="334"/>
      <c r="D57" s="284">
        <f>'Balance Sheet'!H77-'Balance Sheet'!G77</f>
        <v>-44</v>
      </c>
      <c r="E57" s="284">
        <f>'Balance Sheet'!I77-'Balance Sheet'!H77</f>
        <v>0</v>
      </c>
      <c r="F57" s="284">
        <f>'Balance Sheet'!J77-'Balance Sheet'!I77</f>
        <v>0</v>
      </c>
      <c r="G57" s="284">
        <f>'Balance Sheet'!K77-'Balance Sheet'!J77</f>
        <v>0</v>
      </c>
      <c r="H57" s="285">
        <f>'Balance Sheet'!L77-'Balance Sheet'!K77</f>
        <v>0</v>
      </c>
    </row>
    <row r="58" spans="2:8" ht="14.25" customHeight="1" x14ac:dyDescent="0.2">
      <c r="B58" s="11" t="s">
        <v>205</v>
      </c>
      <c r="C58" s="334"/>
      <c r="D58" s="284">
        <f>'Balance Sheet'!H78-'Balance Sheet'!G78</f>
        <v>193</v>
      </c>
      <c r="E58" s="284">
        <f>'Balance Sheet'!I78-'Balance Sheet'!H78</f>
        <v>0</v>
      </c>
      <c r="F58" s="284">
        <f>'Balance Sheet'!J78-'Balance Sheet'!I78</f>
        <v>0</v>
      </c>
      <c r="G58" s="284">
        <f>'Balance Sheet'!K78-'Balance Sheet'!J78</f>
        <v>0</v>
      </c>
      <c r="H58" s="285">
        <f>'Balance Sheet'!L78-'Balance Sheet'!K78</f>
        <v>0</v>
      </c>
    </row>
    <row r="59" spans="2:8" ht="14.25" customHeight="1" x14ac:dyDescent="0.2">
      <c r="B59" s="11" t="s">
        <v>206</v>
      </c>
      <c r="C59" s="334"/>
      <c r="D59" s="284">
        <f>'Balance Sheet'!H79-'Balance Sheet'!G79</f>
        <v>-411</v>
      </c>
      <c r="E59" s="284">
        <f>'Balance Sheet'!I79-'Balance Sheet'!H79</f>
        <v>0</v>
      </c>
      <c r="F59" s="284">
        <f>'Balance Sheet'!J79-'Balance Sheet'!I79</f>
        <v>0</v>
      </c>
      <c r="G59" s="284">
        <f>'Balance Sheet'!K79-'Balance Sheet'!J79</f>
        <v>0</v>
      </c>
      <c r="H59" s="285">
        <f>'Balance Sheet'!L79-'Balance Sheet'!K79</f>
        <v>0</v>
      </c>
    </row>
    <row r="60" spans="2:8" ht="14.25" customHeight="1" x14ac:dyDescent="0.2">
      <c r="B60" s="11" t="s">
        <v>207</v>
      </c>
      <c r="C60" s="334"/>
      <c r="D60" s="284">
        <f>'Balance Sheet'!H80-'Balance Sheet'!G80</f>
        <v>-825</v>
      </c>
      <c r="E60" s="284">
        <f>'Balance Sheet'!I80-'Balance Sheet'!H80</f>
        <v>0</v>
      </c>
      <c r="F60" s="284">
        <f>'Balance Sheet'!J80-'Balance Sheet'!I80</f>
        <v>0</v>
      </c>
      <c r="G60" s="284">
        <f>'Balance Sheet'!K80-'Balance Sheet'!J80</f>
        <v>0</v>
      </c>
      <c r="H60" s="285">
        <f>'Balance Sheet'!L80-'Balance Sheet'!K80</f>
        <v>0</v>
      </c>
    </row>
    <row r="61" spans="2:8" ht="14.25" customHeight="1" x14ac:dyDescent="0.2">
      <c r="B61" s="11" t="s">
        <v>208</v>
      </c>
      <c r="C61" s="334"/>
      <c r="D61" s="284">
        <f>'Balance Sheet'!H81-'Balance Sheet'!G81</f>
        <v>-500</v>
      </c>
      <c r="E61" s="284">
        <f>'Balance Sheet'!I81-'Balance Sheet'!H81</f>
        <v>0</v>
      </c>
      <c r="F61" s="284">
        <f>'Balance Sheet'!J81-'Balance Sheet'!I81</f>
        <v>0</v>
      </c>
      <c r="G61" s="284">
        <f>'Balance Sheet'!K81-'Balance Sheet'!J81</f>
        <v>0</v>
      </c>
      <c r="H61" s="285">
        <f>'Balance Sheet'!L81-'Balance Sheet'!K81</f>
        <v>0</v>
      </c>
    </row>
    <row r="62" spans="2:8" ht="14.25" customHeight="1" x14ac:dyDescent="0.2">
      <c r="B62" s="11" t="s">
        <v>209</v>
      </c>
      <c r="C62" s="334"/>
      <c r="D62" s="284">
        <f>'Balance Sheet'!H82-'Balance Sheet'!G82</f>
        <v>1619</v>
      </c>
      <c r="E62" s="284">
        <f>'Balance Sheet'!I82-'Balance Sheet'!H82</f>
        <v>0</v>
      </c>
      <c r="F62" s="284">
        <f>'Balance Sheet'!J82-'Balance Sheet'!I82</f>
        <v>0</v>
      </c>
      <c r="G62" s="284">
        <f>'Balance Sheet'!K82-'Balance Sheet'!J82</f>
        <v>0</v>
      </c>
      <c r="H62" s="285">
        <f>'Balance Sheet'!L82-'Balance Sheet'!K82</f>
        <v>0</v>
      </c>
    </row>
    <row r="63" spans="2:8" ht="14.25" customHeight="1" x14ac:dyDescent="0.2">
      <c r="B63" s="11" t="s">
        <v>210</v>
      </c>
      <c r="C63" s="334"/>
      <c r="D63" s="284">
        <f>'Balance Sheet'!H83-'Balance Sheet'!G83</f>
        <v>-2119</v>
      </c>
      <c r="E63" s="284">
        <f>'Balance Sheet'!I83-'Balance Sheet'!H83</f>
        <v>0</v>
      </c>
      <c r="F63" s="284">
        <f>'Balance Sheet'!J83-'Balance Sheet'!I83</f>
        <v>0</v>
      </c>
      <c r="G63" s="284">
        <f>'Balance Sheet'!K83-'Balance Sheet'!J83</f>
        <v>0</v>
      </c>
      <c r="H63" s="285">
        <f>'Balance Sheet'!L83-'Balance Sheet'!K83</f>
        <v>0</v>
      </c>
    </row>
    <row r="64" spans="2:8" ht="14.25" customHeight="1" x14ac:dyDescent="0.2">
      <c r="B64" s="11" t="s">
        <v>211</v>
      </c>
      <c r="C64" s="334"/>
      <c r="D64" s="284">
        <f>'Balance Sheet'!H84-'Balance Sheet'!G84</f>
        <v>0</v>
      </c>
      <c r="E64" s="284">
        <f>'Balance Sheet'!I84-'Balance Sheet'!H84</f>
        <v>0</v>
      </c>
      <c r="F64" s="284">
        <f>'Balance Sheet'!J84-'Balance Sheet'!I84</f>
        <v>0</v>
      </c>
      <c r="G64" s="284">
        <f>'Balance Sheet'!K84-'Balance Sheet'!J84</f>
        <v>0</v>
      </c>
      <c r="H64" s="285">
        <f>'Balance Sheet'!L84-'Balance Sheet'!K84</f>
        <v>0</v>
      </c>
    </row>
    <row r="65" spans="2:8" ht="14.25" customHeight="1" x14ac:dyDescent="0.2">
      <c r="B65" s="11" t="s">
        <v>212</v>
      </c>
      <c r="C65" s="334"/>
      <c r="D65" s="284">
        <f>'Balance Sheet'!H85-'Balance Sheet'!G85</f>
        <v>200</v>
      </c>
      <c r="E65" s="284">
        <f>'Balance Sheet'!I85-'Balance Sheet'!H85</f>
        <v>0</v>
      </c>
      <c r="F65" s="284">
        <f>'Balance Sheet'!J85-'Balance Sheet'!I85</f>
        <v>0</v>
      </c>
      <c r="G65" s="284">
        <f>'Balance Sheet'!K85-'Balance Sheet'!J85</f>
        <v>0</v>
      </c>
      <c r="H65" s="285">
        <f>'Balance Sheet'!L85-'Balance Sheet'!K85</f>
        <v>0</v>
      </c>
    </row>
    <row r="66" spans="2:8" ht="14.25" customHeight="1" x14ac:dyDescent="0.2">
      <c r="B66" s="11" t="s">
        <v>213</v>
      </c>
      <c r="C66" s="334"/>
      <c r="D66" s="284">
        <f>'Balance Sheet'!H86-'Balance Sheet'!G86</f>
        <v>1050</v>
      </c>
      <c r="E66" s="284">
        <f>'Balance Sheet'!I86-'Balance Sheet'!H86</f>
        <v>0</v>
      </c>
      <c r="F66" s="284">
        <f>'Balance Sheet'!J86-'Balance Sheet'!I86</f>
        <v>0</v>
      </c>
      <c r="G66" s="284">
        <f>'Balance Sheet'!K86-'Balance Sheet'!J86</f>
        <v>0</v>
      </c>
      <c r="H66" s="285">
        <f>'Balance Sheet'!L86-'Balance Sheet'!K86</f>
        <v>0</v>
      </c>
    </row>
    <row r="67" spans="2:8" ht="14.25" customHeight="1" x14ac:dyDescent="0.2">
      <c r="B67" s="11" t="s">
        <v>214</v>
      </c>
      <c r="C67" s="334"/>
      <c r="D67" s="284">
        <f>'Balance Sheet'!H87-'Balance Sheet'!G87</f>
        <v>500</v>
      </c>
      <c r="E67" s="284">
        <f>'Balance Sheet'!I87-'Balance Sheet'!H87</f>
        <v>0</v>
      </c>
      <c r="F67" s="284">
        <f>'Balance Sheet'!J87-'Balance Sheet'!I87</f>
        <v>0</v>
      </c>
      <c r="G67" s="284">
        <f>'Balance Sheet'!K87-'Balance Sheet'!J87</f>
        <v>0</v>
      </c>
      <c r="H67" s="285">
        <f>'Balance Sheet'!L87-'Balance Sheet'!K87</f>
        <v>0</v>
      </c>
    </row>
    <row r="68" spans="2:8" ht="14.25" customHeight="1" x14ac:dyDescent="0.2">
      <c r="B68" s="11" t="s">
        <v>214</v>
      </c>
      <c r="C68" s="334"/>
      <c r="D68" s="284">
        <f>'Balance Sheet'!H88-'Balance Sheet'!G88</f>
        <v>250</v>
      </c>
      <c r="E68" s="284">
        <f>'Balance Sheet'!I88-'Balance Sheet'!H88</f>
        <v>0</v>
      </c>
      <c r="F68" s="284">
        <f>'Balance Sheet'!J88-'Balance Sheet'!I88</f>
        <v>0</v>
      </c>
      <c r="G68" s="284">
        <f>'Balance Sheet'!K88-'Balance Sheet'!J88</f>
        <v>0</v>
      </c>
      <c r="H68" s="285">
        <f>'Balance Sheet'!L88-'Balance Sheet'!K88</f>
        <v>0</v>
      </c>
    </row>
    <row r="69" spans="2:8" ht="14.25" customHeight="1" x14ac:dyDescent="0.2">
      <c r="B69" s="11" t="s">
        <v>215</v>
      </c>
      <c r="C69" s="334"/>
      <c r="D69" s="284">
        <f>'Balance Sheet'!H89-'Balance Sheet'!G89</f>
        <v>100</v>
      </c>
      <c r="E69" s="284">
        <f>'Balance Sheet'!I89-'Balance Sheet'!H89</f>
        <v>0</v>
      </c>
      <c r="F69" s="284">
        <f>'Balance Sheet'!J89-'Balance Sheet'!I89</f>
        <v>0</v>
      </c>
      <c r="G69" s="284">
        <f>'Balance Sheet'!K89-'Balance Sheet'!J89</f>
        <v>0</v>
      </c>
      <c r="H69" s="285">
        <f>'Balance Sheet'!L89-'Balance Sheet'!K89</f>
        <v>0</v>
      </c>
    </row>
    <row r="70" spans="2:8" ht="14.25" customHeight="1" x14ac:dyDescent="0.2">
      <c r="B70" s="11" t="s">
        <v>215</v>
      </c>
      <c r="C70" s="334"/>
      <c r="D70" s="284">
        <f>'Balance Sheet'!H90-'Balance Sheet'!G90</f>
        <v>150</v>
      </c>
      <c r="E70" s="284">
        <f>'Balance Sheet'!I90-'Balance Sheet'!H90</f>
        <v>0</v>
      </c>
      <c r="F70" s="284">
        <f>'Balance Sheet'!J90-'Balance Sheet'!I90</f>
        <v>0</v>
      </c>
      <c r="G70" s="284">
        <f>'Balance Sheet'!K90-'Balance Sheet'!J90</f>
        <v>0</v>
      </c>
      <c r="H70" s="285">
        <f>'Balance Sheet'!L90-'Balance Sheet'!K90</f>
        <v>0</v>
      </c>
    </row>
    <row r="71" spans="2:8" ht="14.25" customHeight="1" x14ac:dyDescent="0.2">
      <c r="B71" s="11" t="s">
        <v>215</v>
      </c>
      <c r="C71" s="334"/>
      <c r="D71" s="284">
        <f>'Balance Sheet'!H91-'Balance Sheet'!G91</f>
        <v>-500</v>
      </c>
      <c r="E71" s="284">
        <f>'Balance Sheet'!I91-'Balance Sheet'!H91</f>
        <v>0</v>
      </c>
      <c r="F71" s="284">
        <f>'Balance Sheet'!J91-'Balance Sheet'!I91</f>
        <v>0</v>
      </c>
      <c r="G71" s="284">
        <f>'Balance Sheet'!K91-'Balance Sheet'!J91</f>
        <v>0</v>
      </c>
      <c r="H71" s="285">
        <f>'Balance Sheet'!L91-'Balance Sheet'!K91</f>
        <v>0</v>
      </c>
    </row>
    <row r="72" spans="2:8" ht="14.25" customHeight="1" x14ac:dyDescent="0.2">
      <c r="B72" s="11" t="s">
        <v>216</v>
      </c>
      <c r="C72" s="334"/>
      <c r="D72" s="284">
        <f>'Balance Sheet'!H92-'Balance Sheet'!G92</f>
        <v>250</v>
      </c>
      <c r="E72" s="284">
        <f>'Balance Sheet'!I92-'Balance Sheet'!H92</f>
        <v>0</v>
      </c>
      <c r="F72" s="284">
        <f>'Balance Sheet'!J92-'Balance Sheet'!I92</f>
        <v>0</v>
      </c>
      <c r="G72" s="284">
        <f>'Balance Sheet'!K92-'Balance Sheet'!J92</f>
        <v>0</v>
      </c>
      <c r="H72" s="285">
        <f>'Balance Sheet'!L92-'Balance Sheet'!K92</f>
        <v>0</v>
      </c>
    </row>
    <row r="73" spans="2:8" ht="14.25" customHeight="1" x14ac:dyDescent="0.2">
      <c r="B73" s="11" t="s">
        <v>217</v>
      </c>
      <c r="C73" s="334"/>
      <c r="D73" s="284">
        <f>'Balance Sheet'!H93-'Balance Sheet'!G93</f>
        <v>-700</v>
      </c>
      <c r="E73" s="284">
        <f>'Balance Sheet'!I93-'Balance Sheet'!H93</f>
        <v>0</v>
      </c>
      <c r="F73" s="284">
        <f>'Balance Sheet'!J93-'Balance Sheet'!I93</f>
        <v>0</v>
      </c>
      <c r="G73" s="284">
        <f>'Balance Sheet'!K93-'Balance Sheet'!J93</f>
        <v>0</v>
      </c>
      <c r="H73" s="285">
        <f>'Balance Sheet'!L93-'Balance Sheet'!K93</f>
        <v>0</v>
      </c>
    </row>
    <row r="74" spans="2:8" ht="14.25" customHeight="1" x14ac:dyDescent="0.2">
      <c r="B74" s="11" t="s">
        <v>218</v>
      </c>
      <c r="C74" s="334"/>
      <c r="D74" s="284">
        <f>'Balance Sheet'!H94-'Balance Sheet'!G94</f>
        <v>950</v>
      </c>
      <c r="E74" s="284">
        <f>'Balance Sheet'!I94-'Balance Sheet'!H94</f>
        <v>0</v>
      </c>
      <c r="F74" s="284">
        <f>'Balance Sheet'!J94-'Balance Sheet'!I94</f>
        <v>0</v>
      </c>
      <c r="G74" s="284">
        <f>'Balance Sheet'!K94-'Balance Sheet'!J94</f>
        <v>0</v>
      </c>
      <c r="H74" s="285">
        <f>'Balance Sheet'!L94-'Balance Sheet'!K94</f>
        <v>0</v>
      </c>
    </row>
    <row r="75" spans="2:8" ht="14.25" customHeight="1" x14ac:dyDescent="0.2">
      <c r="B75" s="11" t="s">
        <v>219</v>
      </c>
      <c r="C75" s="334"/>
      <c r="D75" s="284">
        <f>'Balance Sheet'!H95-'Balance Sheet'!G95</f>
        <v>357</v>
      </c>
      <c r="E75" s="284">
        <f>'Balance Sheet'!I95-'Balance Sheet'!H95</f>
        <v>0</v>
      </c>
      <c r="F75" s="284">
        <f>'Balance Sheet'!J95-'Balance Sheet'!I95</f>
        <v>0</v>
      </c>
      <c r="G75" s="284">
        <f>'Balance Sheet'!K95-'Balance Sheet'!J95</f>
        <v>0</v>
      </c>
      <c r="H75" s="285">
        <f>'Balance Sheet'!L95-'Balance Sheet'!K95</f>
        <v>0</v>
      </c>
    </row>
    <row r="76" spans="2:8" ht="14.25" customHeight="1" x14ac:dyDescent="0.2">
      <c r="B76" s="11" t="s">
        <v>220</v>
      </c>
      <c r="C76" s="334"/>
      <c r="D76" s="284">
        <f>'Balance Sheet'!H96-'Balance Sheet'!G96</f>
        <v>-8</v>
      </c>
      <c r="E76" s="284">
        <f>'Balance Sheet'!I96-'Balance Sheet'!H96</f>
        <v>0</v>
      </c>
      <c r="F76" s="284">
        <f>'Balance Sheet'!J96-'Balance Sheet'!I96</f>
        <v>0</v>
      </c>
      <c r="G76" s="284">
        <f>'Balance Sheet'!K96-'Balance Sheet'!J96</f>
        <v>0</v>
      </c>
      <c r="H76" s="285">
        <f>'Balance Sheet'!L96-'Balance Sheet'!K96</f>
        <v>0</v>
      </c>
    </row>
    <row r="77" spans="2:8" ht="14.25" customHeight="1" x14ac:dyDescent="0.2">
      <c r="B77" s="11" t="s">
        <v>221</v>
      </c>
      <c r="C77" s="334"/>
      <c r="D77" s="284">
        <f>'Balance Sheet'!H97-'Balance Sheet'!G97</f>
        <v>6</v>
      </c>
      <c r="E77" s="284">
        <f>'Balance Sheet'!I97-'Balance Sheet'!H97</f>
        <v>0</v>
      </c>
      <c r="F77" s="284">
        <f>'Balance Sheet'!J97-'Balance Sheet'!I97</f>
        <v>0</v>
      </c>
      <c r="G77" s="284">
        <f>'Balance Sheet'!K97-'Balance Sheet'!J97</f>
        <v>0</v>
      </c>
      <c r="H77" s="285">
        <f>'Balance Sheet'!L97-'Balance Sheet'!K97</f>
        <v>0</v>
      </c>
    </row>
    <row r="78" spans="2:8" ht="14.25" customHeight="1" x14ac:dyDescent="0.2">
      <c r="B78" s="11" t="s">
        <v>221</v>
      </c>
      <c r="C78" s="334"/>
      <c r="D78" s="284">
        <f>'Balance Sheet'!H98-'Balance Sheet'!G98</f>
        <v>-271</v>
      </c>
      <c r="E78" s="284">
        <f>'Balance Sheet'!I98-'Balance Sheet'!H98</f>
        <v>0</v>
      </c>
      <c r="F78" s="284">
        <f>'Balance Sheet'!J98-'Balance Sheet'!I98</f>
        <v>0</v>
      </c>
      <c r="G78" s="284">
        <f>'Balance Sheet'!K98-'Balance Sheet'!J98</f>
        <v>0</v>
      </c>
      <c r="H78" s="285">
        <f>'Balance Sheet'!L98-'Balance Sheet'!K98</f>
        <v>0</v>
      </c>
    </row>
    <row r="79" spans="2:8" ht="14.25" customHeight="1" x14ac:dyDescent="0.2">
      <c r="B79" s="11" t="s">
        <v>223</v>
      </c>
      <c r="C79" s="334"/>
      <c r="D79" s="284">
        <f>'Balance Sheet'!H99-'Balance Sheet'!G99</f>
        <v>313</v>
      </c>
      <c r="E79" s="284">
        <f>'Balance Sheet'!I99-'Balance Sheet'!H99</f>
        <v>0</v>
      </c>
      <c r="F79" s="284">
        <f>'Balance Sheet'!J99-'Balance Sheet'!I99</f>
        <v>0</v>
      </c>
      <c r="G79" s="284">
        <f>'Balance Sheet'!K99-'Balance Sheet'!J99</f>
        <v>0</v>
      </c>
      <c r="H79" s="285">
        <f>'Balance Sheet'!L99-'Balance Sheet'!K99</f>
        <v>0</v>
      </c>
    </row>
    <row r="80" spans="2:8" ht="14.25" customHeight="1" x14ac:dyDescent="0.2">
      <c r="B80" s="11" t="s">
        <v>224</v>
      </c>
      <c r="C80" s="334"/>
      <c r="D80" s="284">
        <f>'Balance Sheet'!H100-'Balance Sheet'!G100</f>
        <v>352</v>
      </c>
      <c r="E80" s="284">
        <f>'Balance Sheet'!I100-'Balance Sheet'!H100</f>
        <v>0</v>
      </c>
      <c r="F80" s="284">
        <f>'Balance Sheet'!J100-'Balance Sheet'!I100</f>
        <v>0</v>
      </c>
      <c r="G80" s="284">
        <f>'Balance Sheet'!K100-'Balance Sheet'!J100</f>
        <v>0</v>
      </c>
      <c r="H80" s="285">
        <f>'Balance Sheet'!L100-'Balance Sheet'!K100</f>
        <v>0</v>
      </c>
    </row>
    <row r="81" spans="2:11" ht="14.25" customHeight="1" x14ac:dyDescent="0.2">
      <c r="B81" s="11" t="s">
        <v>231</v>
      </c>
      <c r="C81" s="334"/>
      <c r="D81" s="284">
        <f>'Balance Sheet'!H107-'Balance Sheet'!G107</f>
        <v>5135</v>
      </c>
      <c r="E81" s="284">
        <f>'Balance Sheet'!I107-'Balance Sheet'!H107</f>
        <v>0</v>
      </c>
      <c r="F81" s="284">
        <f>'Balance Sheet'!J107-'Balance Sheet'!I107</f>
        <v>0</v>
      </c>
      <c r="G81" s="284">
        <f>'Balance Sheet'!K107-'Balance Sheet'!J107</f>
        <v>0</v>
      </c>
      <c r="H81" s="285">
        <f>'Balance Sheet'!L107-'Balance Sheet'!K107</f>
        <v>0</v>
      </c>
    </row>
    <row r="82" spans="2:11" ht="14.25" customHeight="1" x14ac:dyDescent="0.2">
      <c r="B82" s="11" t="s">
        <v>254</v>
      </c>
      <c r="C82" s="336">
        <v>13</v>
      </c>
      <c r="D82" s="252"/>
      <c r="E82" s="252"/>
      <c r="F82" s="252"/>
      <c r="G82" s="252"/>
      <c r="H82" s="253"/>
      <c r="K82" s="127"/>
    </row>
    <row r="83" spans="2:11" ht="14.25" customHeight="1" x14ac:dyDescent="0.2">
      <c r="B83" s="11" t="s">
        <v>255</v>
      </c>
      <c r="C83" s="254">
        <v>-4121</v>
      </c>
      <c r="D83" s="255">
        <f>Calcs!H9</f>
        <v>0</v>
      </c>
      <c r="E83" s="255">
        <f>Calcs!I9</f>
        <v>0</v>
      </c>
      <c r="F83" s="255">
        <f>Calcs!J9</f>
        <v>0</v>
      </c>
      <c r="G83" s="255">
        <f>Calcs!K9</f>
        <v>0</v>
      </c>
      <c r="H83" s="256">
        <f>Calcs!L9</f>
        <v>0</v>
      </c>
    </row>
    <row r="84" spans="2:11" ht="14.25" customHeight="1" x14ac:dyDescent="0.2">
      <c r="B84" s="15" t="s">
        <v>256</v>
      </c>
      <c r="C84" s="331">
        <f t="shared" ref="C84" si="2">SUM(C82:C83)</f>
        <v>-4108</v>
      </c>
      <c r="D84" s="331">
        <f>SUM(D16:D83)</f>
        <v>2134</v>
      </c>
      <c r="E84" s="331">
        <f>SUM(E16:E83)</f>
        <v>0</v>
      </c>
      <c r="F84" s="331">
        <f>SUM(F16:F83)</f>
        <v>-13952</v>
      </c>
      <c r="G84" s="331">
        <f>SUM(G16:G83)</f>
        <v>-7755</v>
      </c>
      <c r="H84" s="206">
        <f>SUM(H16:H83)</f>
        <v>-7500</v>
      </c>
    </row>
    <row r="85" spans="2:11" ht="14.25" customHeight="1" x14ac:dyDescent="0.2">
      <c r="B85" s="13"/>
      <c r="C85" s="128"/>
      <c r="D85" s="129"/>
      <c r="E85" s="129"/>
      <c r="F85" s="129"/>
      <c r="G85" s="129"/>
      <c r="H85" s="130"/>
    </row>
    <row r="86" spans="2:11" x14ac:dyDescent="0.2">
      <c r="B86" s="11"/>
      <c r="H86" s="21"/>
    </row>
    <row r="87" spans="2:11" x14ac:dyDescent="0.2">
      <c r="B87" s="11"/>
      <c r="H87" s="21"/>
    </row>
    <row r="88" spans="2:11" x14ac:dyDescent="0.2">
      <c r="B88" s="18" t="s">
        <v>257</v>
      </c>
      <c r="C88" s="135">
        <f t="shared" ref="C88:H88" si="3">SUM(C8,C13,C84)</f>
        <v>4947</v>
      </c>
      <c r="D88" s="135">
        <f t="shared" ca="1" si="3"/>
        <v>31029.622014479886</v>
      </c>
      <c r="E88" s="135">
        <f t="shared" ca="1" si="3"/>
        <v>22932.764534869719</v>
      </c>
      <c r="F88" s="135">
        <f t="shared" ca="1" si="3"/>
        <v>19190.667482533281</v>
      </c>
      <c r="G88" s="135">
        <f t="shared" ca="1" si="3"/>
        <v>25983.865373235436</v>
      </c>
      <c r="H88" s="137">
        <f t="shared" ca="1" si="3"/>
        <v>27097.707937328596</v>
      </c>
    </row>
    <row r="89" spans="2:11" x14ac:dyDescent="0.2">
      <c r="B89" s="11"/>
      <c r="H89" s="21"/>
    </row>
    <row r="90" spans="2:11" x14ac:dyDescent="0.2">
      <c r="B90" s="15" t="s">
        <v>258</v>
      </c>
      <c r="H90" s="21"/>
    </row>
    <row r="91" spans="2:11" x14ac:dyDescent="0.2">
      <c r="B91" s="11" t="s">
        <v>259</v>
      </c>
      <c r="D91" s="138">
        <f>C93</f>
        <v>5598</v>
      </c>
      <c r="E91" s="138">
        <f ca="1">D93</f>
        <v>36627.622014479886</v>
      </c>
      <c r="F91" s="138">
        <f ca="1">E93</f>
        <v>59560.386549349605</v>
      </c>
      <c r="G91" s="138">
        <f ca="1">F93</f>
        <v>78751.054031882886</v>
      </c>
      <c r="H91" s="73">
        <f ca="1">G93</f>
        <v>104734.91940511833</v>
      </c>
    </row>
    <row r="92" spans="2:11" x14ac:dyDescent="0.2">
      <c r="B92" s="11" t="s">
        <v>260</v>
      </c>
      <c r="C92" s="16"/>
      <c r="D92" s="136">
        <f ca="1">D88</f>
        <v>31029.622014479886</v>
      </c>
      <c r="E92" s="136">
        <f ca="1">E88</f>
        <v>22932.764534869719</v>
      </c>
      <c r="F92" s="136">
        <f ca="1">F88</f>
        <v>19190.667482533281</v>
      </c>
      <c r="G92" s="136">
        <f ca="1">G88</f>
        <v>25983.865373235436</v>
      </c>
      <c r="H92" s="139">
        <f ca="1">H88</f>
        <v>27097.707937328596</v>
      </c>
    </row>
    <row r="93" spans="2:11" x14ac:dyDescent="0.2">
      <c r="B93" s="15" t="s">
        <v>261</v>
      </c>
      <c r="C93" s="337">
        <f>'Balance Sheet'!G5</f>
        <v>5598</v>
      </c>
      <c r="D93" s="337">
        <f ca="1">SUM(D91:D92)</f>
        <v>36627.622014479886</v>
      </c>
      <c r="E93" s="337">
        <f ca="1">SUM(E91:E92)</f>
        <v>59560.386549349605</v>
      </c>
      <c r="F93" s="337">
        <f ca="1">SUM(F91:F92)</f>
        <v>78751.054031882886</v>
      </c>
      <c r="G93" s="337">
        <f ca="1">SUM(G91:G92)</f>
        <v>104734.91940511833</v>
      </c>
      <c r="H93" s="338">
        <f ca="1">SUM(H91:H92)</f>
        <v>131832.62734244694</v>
      </c>
    </row>
    <row r="94" spans="2:11" x14ac:dyDescent="0.2">
      <c r="B94" s="11"/>
      <c r="H94" s="21"/>
    </row>
    <row r="95" spans="2:11" x14ac:dyDescent="0.2">
      <c r="B95" s="81" t="s">
        <v>149</v>
      </c>
      <c r="C95" s="339">
        <f>'Debt Schedule'!C638</f>
        <v>5598</v>
      </c>
      <c r="D95" s="339">
        <f>'Debt Schedule'!D638</f>
        <v>5668.0823999999993</v>
      </c>
      <c r="E95" s="339">
        <f>'Debt Schedule'!E638</f>
        <v>5848.2195510600004</v>
      </c>
      <c r="F95" s="339">
        <f>'Debt Schedule'!F638</f>
        <v>6401.0104217429989</v>
      </c>
      <c r="G95" s="339">
        <f>'Debt Schedule'!G638</f>
        <v>6983.0909620386856</v>
      </c>
      <c r="H95" s="283">
        <f>'Debt Schedule'!H638</f>
        <v>7369.6191648082231</v>
      </c>
    </row>
    <row r="96" spans="2:11" x14ac:dyDescent="0.2">
      <c r="B96" s="82" t="s">
        <v>262</v>
      </c>
      <c r="C96" s="105"/>
      <c r="D96" s="205">
        <f ca="1">D93-D95</f>
        <v>30959.539614479887</v>
      </c>
      <c r="E96" s="205">
        <f ca="1">E93-E95</f>
        <v>53712.166998289606</v>
      </c>
      <c r="F96" s="205">
        <f ca="1">F93-F95</f>
        <v>72350.043610139881</v>
      </c>
      <c r="G96" s="205">
        <f ca="1">G93-G95</f>
        <v>97751.828443079648</v>
      </c>
      <c r="H96" s="340">
        <f ca="1">H93-H95</f>
        <v>124463.00817763872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21274-1E9A-4139-B004-22A9D15B9862}">
  <dimension ref="B2:L60"/>
  <sheetViews>
    <sheetView showGridLines="0" zoomScale="83" workbookViewId="0">
      <selection activeCell="C17" sqref="C17"/>
    </sheetView>
  </sheetViews>
  <sheetFormatPr baseColWidth="10" defaultColWidth="8.6640625" defaultRowHeight="15" x14ac:dyDescent="0.2"/>
  <cols>
    <col min="2" max="2" width="61.6640625" bestFit="1" customWidth="1"/>
    <col min="3" max="3" width="12.5" bestFit="1" customWidth="1"/>
    <col min="4" max="7" width="9.33203125" bestFit="1" customWidth="1"/>
    <col min="8" max="12" width="12.5" bestFit="1" customWidth="1"/>
  </cols>
  <sheetData>
    <row r="2" spans="2:12" x14ac:dyDescent="0.2">
      <c r="B2" s="544" t="s">
        <v>263</v>
      </c>
      <c r="C2" s="545" t="s">
        <v>10</v>
      </c>
      <c r="D2" s="545"/>
      <c r="E2" s="545"/>
      <c r="F2" s="546"/>
      <c r="G2" s="547"/>
      <c r="H2" s="548" t="s">
        <v>35</v>
      </c>
      <c r="I2" s="548"/>
      <c r="J2" s="548"/>
      <c r="K2" s="548"/>
      <c r="L2" s="549"/>
    </row>
    <row r="3" spans="2:12" x14ac:dyDescent="0.2">
      <c r="B3" s="550" t="s">
        <v>12</v>
      </c>
      <c r="C3" s="551">
        <v>2021</v>
      </c>
      <c r="D3" s="551" t="s">
        <v>14</v>
      </c>
      <c r="E3" s="551" t="s">
        <v>15</v>
      </c>
      <c r="F3" s="551" t="s">
        <v>16</v>
      </c>
      <c r="G3" s="552" t="s">
        <v>17</v>
      </c>
      <c r="H3" s="553" t="s">
        <v>264</v>
      </c>
      <c r="I3" s="553" t="s">
        <v>19</v>
      </c>
      <c r="J3" s="553" t="s">
        <v>20</v>
      </c>
      <c r="K3" s="553" t="s">
        <v>21</v>
      </c>
      <c r="L3" s="554" t="s">
        <v>22</v>
      </c>
    </row>
    <row r="4" spans="2:12" x14ac:dyDescent="0.2">
      <c r="B4" s="341"/>
      <c r="C4" s="342"/>
      <c r="D4" s="342"/>
      <c r="E4" s="342"/>
      <c r="F4" s="342"/>
      <c r="G4" s="342"/>
      <c r="H4" s="342"/>
      <c r="I4" s="342"/>
      <c r="J4" s="342"/>
      <c r="K4" s="342"/>
      <c r="L4" s="343"/>
    </row>
    <row r="5" spans="2:12" x14ac:dyDescent="0.2">
      <c r="B5" s="341" t="s">
        <v>265</v>
      </c>
      <c r="C5" s="25"/>
      <c r="D5" s="25"/>
      <c r="E5" s="25"/>
      <c r="F5" s="25"/>
      <c r="G5" s="25"/>
      <c r="H5" s="342"/>
      <c r="I5" s="342"/>
      <c r="J5" s="342"/>
      <c r="K5" s="342"/>
      <c r="L5" s="343"/>
    </row>
    <row r="6" spans="2:12" x14ac:dyDescent="0.2">
      <c r="B6" s="344"/>
      <c r="C6" s="25"/>
      <c r="D6" s="25">
        <f>C10</f>
        <v>-2812</v>
      </c>
      <c r="E6" s="25">
        <f t="shared" ref="E6:G6" si="0">D10</f>
        <v>-223</v>
      </c>
      <c r="F6" s="25">
        <f t="shared" si="0"/>
        <v>7347</v>
      </c>
      <c r="G6" s="25">
        <f t="shared" si="0"/>
        <v>14384</v>
      </c>
      <c r="H6" s="25">
        <f t="shared" ref="H6" si="1">G10</f>
        <v>21136</v>
      </c>
      <c r="I6" s="25">
        <f t="shared" ref="I6" ca="1" si="2">H10</f>
        <v>35341.543926479906</v>
      </c>
      <c r="J6" s="25">
        <f t="shared" ref="J6" ca="1" si="3">I10</f>
        <v>48659.722544719523</v>
      </c>
      <c r="K6" s="25">
        <f t="shared" ref="K6" ca="1" si="4">J10</f>
        <v>65834.621720760129</v>
      </c>
      <c r="L6" s="28">
        <f t="shared" ref="L6" ca="1" si="5">K10</f>
        <v>85679.101495830313</v>
      </c>
    </row>
    <row r="7" spans="2:12" x14ac:dyDescent="0.2">
      <c r="B7" s="344" t="s">
        <v>266</v>
      </c>
      <c r="C7" s="25"/>
      <c r="D7" s="25">
        <f>'Income Statement'!D25</f>
        <v>2590</v>
      </c>
      <c r="E7" s="25">
        <f>'Income Statement'!E25</f>
        <v>8317</v>
      </c>
      <c r="F7" s="25">
        <f>'Income Statement'!F25</f>
        <v>11339</v>
      </c>
      <c r="G7" s="25">
        <f>'Income Statement'!G25</f>
        <v>10992</v>
      </c>
      <c r="H7" s="25">
        <f ca="1">'Income Statement'!H25</f>
        <v>14205.54392647991</v>
      </c>
      <c r="I7" s="25">
        <f ca="1">'Income Statement'!I25</f>
        <v>13318.178618239621</v>
      </c>
      <c r="J7" s="25">
        <f ca="1">'Income Statement'!J25</f>
        <v>17174.899176040606</v>
      </c>
      <c r="K7" s="25">
        <f ca="1">'Income Statement'!K25</f>
        <v>19844.479775070191</v>
      </c>
      <c r="L7" s="28">
        <f ca="1">'Income Statement'!L25</f>
        <v>22347.925730595358</v>
      </c>
    </row>
    <row r="8" spans="2:12" x14ac:dyDescent="0.2">
      <c r="B8" s="344" t="s">
        <v>267</v>
      </c>
      <c r="C8" s="25"/>
      <c r="D8" s="59">
        <v>-1</v>
      </c>
      <c r="E8" s="59">
        <v>0</v>
      </c>
      <c r="F8" s="59">
        <v>0</v>
      </c>
      <c r="G8" s="59">
        <v>0</v>
      </c>
      <c r="H8" s="59">
        <v>0</v>
      </c>
      <c r="I8" s="59">
        <v>0</v>
      </c>
      <c r="J8" s="59">
        <v>0</v>
      </c>
      <c r="K8" s="59">
        <v>0</v>
      </c>
      <c r="L8" s="123">
        <v>0</v>
      </c>
    </row>
    <row r="9" spans="2:12" x14ac:dyDescent="0.2">
      <c r="B9" s="344" t="s">
        <v>255</v>
      </c>
      <c r="C9" s="25"/>
      <c r="D9" s="59">
        <v>0</v>
      </c>
      <c r="E9" s="59">
        <v>-747</v>
      </c>
      <c r="F9" s="59">
        <v>-4302</v>
      </c>
      <c r="G9" s="59">
        <v>-4240</v>
      </c>
      <c r="H9" s="59">
        <v>0</v>
      </c>
      <c r="I9" s="59">
        <v>0</v>
      </c>
      <c r="J9" s="59">
        <v>0</v>
      </c>
      <c r="K9" s="59">
        <v>0</v>
      </c>
      <c r="L9" s="125">
        <v>0</v>
      </c>
    </row>
    <row r="10" spans="2:12" x14ac:dyDescent="0.2">
      <c r="B10" s="344" t="s">
        <v>268</v>
      </c>
      <c r="C10" s="62">
        <f>'Balance Sheet'!C115</f>
        <v>-2812</v>
      </c>
      <c r="D10" s="345">
        <f>SUM(D6:D9)</f>
        <v>-223</v>
      </c>
      <c r="E10" s="345">
        <f t="shared" ref="E10:L10" si="6">SUM(E6:E9)</f>
        <v>7347</v>
      </c>
      <c r="F10" s="345">
        <f t="shared" si="6"/>
        <v>14384</v>
      </c>
      <c r="G10" s="345">
        <f t="shared" si="6"/>
        <v>21136</v>
      </c>
      <c r="H10" s="345">
        <f t="shared" ca="1" si="6"/>
        <v>35341.543926479906</v>
      </c>
      <c r="I10" s="345">
        <f t="shared" ca="1" si="6"/>
        <v>48659.722544719523</v>
      </c>
      <c r="J10" s="345">
        <f t="shared" ca="1" si="6"/>
        <v>65834.621720760129</v>
      </c>
      <c r="K10" s="345">
        <f t="shared" ca="1" si="6"/>
        <v>85679.101495830313</v>
      </c>
      <c r="L10" s="346">
        <f t="shared" ca="1" si="6"/>
        <v>108027.02722642568</v>
      </c>
    </row>
    <row r="11" spans="2:12" x14ac:dyDescent="0.2">
      <c r="B11" s="347" t="s">
        <v>269</v>
      </c>
      <c r="C11" s="25">
        <f>'Balance Sheet'!C115</f>
        <v>-2812</v>
      </c>
      <c r="D11" s="25">
        <f>'Balance Sheet'!D115</f>
        <v>-223</v>
      </c>
      <c r="E11" s="25">
        <f>'Balance Sheet'!E115</f>
        <v>7347</v>
      </c>
      <c r="F11" s="25">
        <f>'Balance Sheet'!F115</f>
        <v>14384</v>
      </c>
      <c r="G11" s="25">
        <f>'Balance Sheet'!G115</f>
        <v>21136</v>
      </c>
      <c r="H11" s="25">
        <f ca="1">'Balance Sheet'!H115</f>
        <v>35341.543926479906</v>
      </c>
      <c r="I11" s="25">
        <f ca="1">'Balance Sheet'!I115</f>
        <v>48659.722544719523</v>
      </c>
      <c r="J11" s="25">
        <f ca="1">'Balance Sheet'!J115</f>
        <v>65834.621720760129</v>
      </c>
      <c r="K11" s="25">
        <f ca="1">'Balance Sheet'!K115</f>
        <v>85679.101495830313</v>
      </c>
      <c r="L11" s="28">
        <f ca="1">'Balance Sheet'!L115</f>
        <v>108027.02722642568</v>
      </c>
    </row>
    <row r="12" spans="2:12" x14ac:dyDescent="0.2">
      <c r="B12" s="344"/>
      <c r="C12" s="26"/>
      <c r="D12" s="22"/>
      <c r="E12" s="22"/>
      <c r="F12" s="22"/>
      <c r="G12" s="22"/>
      <c r="H12" s="22"/>
      <c r="I12" s="22"/>
      <c r="J12" s="22"/>
      <c r="K12" s="22"/>
      <c r="L12" s="32"/>
    </row>
    <row r="13" spans="2:12" x14ac:dyDescent="0.2">
      <c r="B13" s="341" t="s">
        <v>270</v>
      </c>
      <c r="C13" s="342"/>
      <c r="D13" s="342"/>
      <c r="E13" s="342"/>
      <c r="F13" s="342"/>
      <c r="G13" s="342"/>
      <c r="H13" s="27"/>
      <c r="I13" s="27"/>
      <c r="J13" s="27"/>
      <c r="K13" s="27"/>
      <c r="L13" s="33"/>
    </row>
    <row r="14" spans="2:12" x14ac:dyDescent="0.2">
      <c r="B14" s="344" t="s">
        <v>271</v>
      </c>
      <c r="C14" s="24"/>
      <c r="D14" s="25">
        <f>C17</f>
        <v>39803</v>
      </c>
      <c r="E14" s="25">
        <f t="shared" ref="E14:F14" si="7">D17</f>
        <v>42086</v>
      </c>
      <c r="F14" s="25">
        <f t="shared" si="7"/>
        <v>40432</v>
      </c>
      <c r="G14" s="25">
        <f>F17</f>
        <v>38533</v>
      </c>
      <c r="H14" s="25">
        <f t="shared" ref="H14" si="8">G17</f>
        <v>38333</v>
      </c>
      <c r="I14" s="25">
        <f t="shared" ref="I14" si="9">H17</f>
        <v>32948.32172</v>
      </c>
      <c r="J14" s="25">
        <f t="shared" ref="J14" si="10">I17</f>
        <v>27906.753141499998</v>
      </c>
      <c r="K14" s="25">
        <f t="shared" ref="K14" si="11">J17</f>
        <v>22785.944804105598</v>
      </c>
      <c r="L14" s="28">
        <f t="shared" ref="L14" si="12">K17</f>
        <v>17379.680833495007</v>
      </c>
    </row>
    <row r="15" spans="2:12" x14ac:dyDescent="0.2">
      <c r="B15" s="344" t="s">
        <v>272</v>
      </c>
      <c r="C15" s="23">
        <v>-12326</v>
      </c>
      <c r="D15" s="23">
        <v>-13970</v>
      </c>
      <c r="E15" s="23">
        <v>-9801</v>
      </c>
      <c r="F15" s="23">
        <v>-8840</v>
      </c>
      <c r="G15" s="23">
        <v>-9955</v>
      </c>
      <c r="H15" s="348">
        <f>Assumptions!L49*'Income Statement'!H11</f>
        <v>-10580.420479999999</v>
      </c>
      <c r="I15" s="348">
        <f>Assumptions!M49*'Income Statement'!I11</f>
        <v>-11192.28224427</v>
      </c>
      <c r="J15" s="348">
        <f>Assumptions!N49*'Income Statement'!J11</f>
        <v>-11628.502266166448</v>
      </c>
      <c r="K15" s="348">
        <f>Assumptions!O49*'Income Statement'!K11</f>
        <v>-12164.093933873839</v>
      </c>
      <c r="L15" s="349">
        <f>Assumptions!P49*'Income Statement'!L11</f>
        <v>-12718.536300556127</v>
      </c>
    </row>
    <row r="16" spans="2:12" x14ac:dyDescent="0.2">
      <c r="B16" s="344" t="s">
        <v>49</v>
      </c>
      <c r="C16" s="25">
        <f>'Income Statement'!C18</f>
        <v>16383</v>
      </c>
      <c r="D16" s="25">
        <f>'Income Statement'!D18</f>
        <v>13651</v>
      </c>
      <c r="E16" s="25">
        <f>'Income Statement'!E18</f>
        <v>12818</v>
      </c>
      <c r="F16" s="25">
        <f>'Income Statement'!F18</f>
        <v>12919</v>
      </c>
      <c r="G16" s="25">
        <f>'Income Statement'!G18</f>
        <v>13508</v>
      </c>
      <c r="H16" s="25">
        <f>'Income Statement'!H18</f>
        <v>15965.098760000001</v>
      </c>
      <c r="I16" s="25">
        <f>'Income Statement'!I18</f>
        <v>16233.85082277</v>
      </c>
      <c r="J16" s="25">
        <f>'Income Statement'!J18</f>
        <v>16749.310603560847</v>
      </c>
      <c r="K16" s="25">
        <f>'Income Statement'!K18</f>
        <v>17570.357904484434</v>
      </c>
      <c r="L16" s="28">
        <f>'Income Statement'!L18</f>
        <v>18305.183086781715</v>
      </c>
    </row>
    <row r="17" spans="2:12" x14ac:dyDescent="0.2">
      <c r="B17" s="344" t="s">
        <v>273</v>
      </c>
      <c r="C17" s="25">
        <f>'Balance Sheet'!C14</f>
        <v>39803</v>
      </c>
      <c r="D17" s="25">
        <f>'Balance Sheet'!D14</f>
        <v>42086</v>
      </c>
      <c r="E17" s="25">
        <f>'Balance Sheet'!E14</f>
        <v>40432</v>
      </c>
      <c r="F17" s="25">
        <f>'Balance Sheet'!F14</f>
        <v>38533</v>
      </c>
      <c r="G17" s="25">
        <f>'Balance Sheet'!G14</f>
        <v>38333</v>
      </c>
      <c r="H17" s="25">
        <f>H14-H15-H16</f>
        <v>32948.32172</v>
      </c>
      <c r="I17" s="25">
        <f t="shared" ref="I17:L17" si="13">I14-I15-I16</f>
        <v>27906.753141499998</v>
      </c>
      <c r="J17" s="25">
        <f t="shared" si="13"/>
        <v>22785.944804105598</v>
      </c>
      <c r="K17" s="25">
        <f t="shared" si="13"/>
        <v>17379.680833495007</v>
      </c>
      <c r="L17" s="28">
        <f t="shared" si="13"/>
        <v>11793.034047269419</v>
      </c>
    </row>
    <row r="18" spans="2:12" x14ac:dyDescent="0.2">
      <c r="B18" s="11"/>
      <c r="G18" s="42"/>
      <c r="H18" s="25"/>
      <c r="I18" s="25"/>
      <c r="J18" s="25"/>
      <c r="K18" s="25"/>
      <c r="L18" s="29"/>
    </row>
    <row r="19" spans="2:12" x14ac:dyDescent="0.2">
      <c r="B19" s="341" t="s">
        <v>247</v>
      </c>
      <c r="C19" s="342"/>
      <c r="D19" s="342"/>
      <c r="E19" s="342"/>
      <c r="F19" s="342"/>
      <c r="G19" s="342"/>
      <c r="H19" s="342"/>
      <c r="I19" s="342"/>
      <c r="J19" s="342"/>
      <c r="K19" s="342"/>
      <c r="L19" s="343"/>
    </row>
    <row r="20" spans="2:12" x14ac:dyDescent="0.2">
      <c r="B20" s="341" t="s">
        <v>274</v>
      </c>
      <c r="C20" s="342"/>
      <c r="D20" s="342"/>
      <c r="E20" s="342"/>
      <c r="F20" s="342"/>
      <c r="G20" s="342"/>
      <c r="H20" s="342"/>
      <c r="I20" s="342"/>
      <c r="J20" s="342"/>
      <c r="K20" s="342"/>
      <c r="L20" s="343"/>
    </row>
    <row r="21" spans="2:12" x14ac:dyDescent="0.2">
      <c r="B21" s="11" t="s">
        <v>157</v>
      </c>
      <c r="C21" s="30">
        <f>'Balance Sheet'!C7</f>
        <v>4194</v>
      </c>
      <c r="D21" s="30">
        <f>'Balance Sheet'!D7</f>
        <v>4445</v>
      </c>
      <c r="E21" s="30">
        <f>'Balance Sheet'!E7</f>
        <v>4692</v>
      </c>
      <c r="F21" s="30">
        <f>'Balance Sheet'!F7</f>
        <v>4276</v>
      </c>
      <c r="G21" s="30">
        <f>'Balance Sheet'!G7</f>
        <v>4874</v>
      </c>
      <c r="H21" s="30">
        <f>'Balance Sheet'!H7</f>
        <v>5290.2102399999994</v>
      </c>
      <c r="I21" s="30">
        <f>'Balance Sheet'!I7</f>
        <v>5747.3881794900008</v>
      </c>
      <c r="J21" s="30">
        <f>'Balance Sheet'!J7</f>
        <v>5974.2763936267993</v>
      </c>
      <c r="K21" s="30">
        <f>'Balance Sheet'!K7</f>
        <v>6194.6774663246406</v>
      </c>
      <c r="L21" s="60">
        <f>'Balance Sheet'!L7</f>
        <v>6537.5653881363269</v>
      </c>
    </row>
    <row r="22" spans="2:12" x14ac:dyDescent="0.2">
      <c r="B22" s="11" t="s">
        <v>158</v>
      </c>
      <c r="C22" s="30">
        <f>'Balance Sheet'!C8</f>
        <v>4748</v>
      </c>
      <c r="D22" s="30">
        <f>'Balance Sheet'!D8</f>
        <v>5123</v>
      </c>
      <c r="E22" s="30">
        <f>'Balance Sheet'!E8</f>
        <v>4456</v>
      </c>
      <c r="F22" s="30">
        <f>'Balance Sheet'!F8</f>
        <v>4379</v>
      </c>
      <c r="G22" s="30">
        <f>'Balance Sheet'!G8</f>
        <v>4997</v>
      </c>
      <c r="H22" s="30">
        <f>'Balance Sheet'!H8</f>
        <v>4646.8440000000001</v>
      </c>
      <c r="I22" s="30">
        <f>'Balance Sheet'!I8</f>
        <v>4535.5470000000005</v>
      </c>
      <c r="J22" s="30">
        <f>'Balance Sheet'!J8</f>
        <v>4242.1319999999996</v>
      </c>
      <c r="K22" s="30">
        <f>'Balance Sheet'!K8</f>
        <v>4314.2</v>
      </c>
      <c r="L22" s="60">
        <f>'Balance Sheet'!L8</f>
        <v>4768.6859999999997</v>
      </c>
    </row>
    <row r="23" spans="2:12" x14ac:dyDescent="0.2">
      <c r="B23" s="11" t="s">
        <v>159</v>
      </c>
      <c r="C23" s="30">
        <f>'Balance Sheet'!C9</f>
        <v>2567</v>
      </c>
      <c r="D23" s="30">
        <f>'Balance Sheet'!D9</f>
        <v>1884</v>
      </c>
      <c r="E23" s="30">
        <f>'Balance Sheet'!E9</f>
        <v>1678</v>
      </c>
      <c r="F23" s="30">
        <f>'Balance Sheet'!F9</f>
        <v>1607</v>
      </c>
      <c r="G23" s="30">
        <f>'Balance Sheet'!G9</f>
        <v>2405</v>
      </c>
      <c r="H23" s="30">
        <f>('Income Statement'!H13+'Income Statement'!H14)*Assumptions!L17</f>
        <v>2373.509505</v>
      </c>
      <c r="I23" s="30">
        <f>('Income Statement'!I13+'Income Statement'!I14)*Assumptions!M17</f>
        <v>2455.4455604726404</v>
      </c>
      <c r="J23" s="30">
        <f>('Income Statement'!J13+'Income Statement'!J14)*Assumptions!N17</f>
        <v>2440.3852232895183</v>
      </c>
      <c r="K23" s="30">
        <f>('Income Statement'!K13+'Income Statement'!K14)*Assumptions!O17</f>
        <v>2486.8814264808734</v>
      </c>
      <c r="L23" s="60">
        <f>('Income Statement'!L13+'Income Statement'!L14)*Assumptions!P17</f>
        <v>2545.7279621402859</v>
      </c>
    </row>
    <row r="24" spans="2:12" x14ac:dyDescent="0.2">
      <c r="B24" s="11" t="s">
        <v>160</v>
      </c>
      <c r="C24" s="30">
        <f>'Balance Sheet'!C10</f>
        <v>746</v>
      </c>
      <c r="D24" s="30">
        <f>'Balance Sheet'!D10</f>
        <v>673</v>
      </c>
      <c r="E24" s="30">
        <f>'Balance Sheet'!E10</f>
        <v>702</v>
      </c>
      <c r="F24" s="30">
        <f>'Balance Sheet'!F10</f>
        <v>880</v>
      </c>
      <c r="G24" s="30">
        <f>'Balance Sheet'!G10</f>
        <v>1215</v>
      </c>
      <c r="H24" s="30">
        <f>'Balance Sheet'!H10</f>
        <v>1180.8505</v>
      </c>
      <c r="I24" s="30">
        <f>'Balance Sheet'!I10</f>
        <v>1109.14508727</v>
      </c>
      <c r="J24" s="30">
        <f>'Balance Sheet'!J10</f>
        <v>1066.8350702905</v>
      </c>
      <c r="K24" s="30">
        <f>'Balance Sheet'!K10</f>
        <v>1069.9897441833468</v>
      </c>
      <c r="L24" s="60">
        <f>'Balance Sheet'!L10</f>
        <v>1129.2158397690021</v>
      </c>
    </row>
    <row r="25" spans="2:12" x14ac:dyDescent="0.2">
      <c r="B25" s="11" t="s">
        <v>161</v>
      </c>
      <c r="C25" s="30">
        <f>'Balance Sheet'!C11</f>
        <v>2005</v>
      </c>
      <c r="D25" s="30">
        <f>'Balance Sheet'!D11</f>
        <v>2435</v>
      </c>
      <c r="E25" s="30">
        <f>'Balance Sheet'!E11</f>
        <v>2352</v>
      </c>
      <c r="F25" s="30">
        <f>'Balance Sheet'!F11</f>
        <v>1853</v>
      </c>
      <c r="G25" s="30">
        <f>'Balance Sheet'!G11</f>
        <v>5372</v>
      </c>
      <c r="H25" s="30">
        <f>'Balance Sheet'!H11</f>
        <v>7557.4431999999997</v>
      </c>
      <c r="I25" s="30">
        <f>'Balance Sheet'!I11</f>
        <v>7058.1960099000007</v>
      </c>
      <c r="J25" s="30">
        <f>'Balance Sheet'!J11</f>
        <v>6721.0609428301495</v>
      </c>
      <c r="K25" s="30">
        <f>'Balance Sheet'!K11</f>
        <v>5631.5249693860369</v>
      </c>
      <c r="L25" s="120">
        <f>'Balance Sheet'!L11</f>
        <v>5705.5116114644316</v>
      </c>
    </row>
    <row r="26" spans="2:12" x14ac:dyDescent="0.2">
      <c r="B26" s="15" t="s">
        <v>275</v>
      </c>
      <c r="C26" s="61">
        <f t="shared" ref="C26:L26" si="14">SUM(C21:C25)</f>
        <v>14260</v>
      </c>
      <c r="D26" s="61">
        <f t="shared" si="14"/>
        <v>14560</v>
      </c>
      <c r="E26" s="61">
        <f t="shared" si="14"/>
        <v>13880</v>
      </c>
      <c r="F26" s="61">
        <f t="shared" si="14"/>
        <v>12995</v>
      </c>
      <c r="G26" s="61">
        <f t="shared" si="14"/>
        <v>18863</v>
      </c>
      <c r="H26" s="61">
        <f t="shared" si="14"/>
        <v>21048.857445000001</v>
      </c>
      <c r="I26" s="61">
        <f t="shared" si="14"/>
        <v>20905.721837132645</v>
      </c>
      <c r="J26" s="61">
        <f t="shared" si="14"/>
        <v>20444.68963003697</v>
      </c>
      <c r="K26" s="61">
        <f t="shared" si="14"/>
        <v>19697.273606374896</v>
      </c>
      <c r="L26" s="122">
        <f t="shared" si="14"/>
        <v>20686.706801510045</v>
      </c>
    </row>
    <row r="27" spans="2:12" x14ac:dyDescent="0.2">
      <c r="B27" s="11"/>
      <c r="C27" s="30"/>
      <c r="D27" s="30"/>
      <c r="E27" s="30"/>
      <c r="F27" s="30"/>
      <c r="G27" s="30"/>
      <c r="H27" s="22"/>
      <c r="I27" s="22"/>
      <c r="J27" s="22"/>
      <c r="K27" s="22"/>
      <c r="L27" s="32"/>
    </row>
    <row r="28" spans="2:12" x14ac:dyDescent="0.2">
      <c r="B28" s="341" t="s">
        <v>276</v>
      </c>
      <c r="C28" s="22"/>
      <c r="D28" s="22"/>
      <c r="E28" s="22"/>
      <c r="F28" s="22"/>
      <c r="G28" s="22"/>
      <c r="H28" s="22"/>
      <c r="I28" s="22"/>
      <c r="J28" s="22"/>
      <c r="K28" s="22"/>
      <c r="L28" s="32"/>
    </row>
    <row r="29" spans="2:12" x14ac:dyDescent="0.2">
      <c r="B29" s="11" t="s">
        <v>174</v>
      </c>
      <c r="C29" s="25">
        <f>'Balance Sheet'!C26</f>
        <v>11405</v>
      </c>
      <c r="D29" s="25">
        <f>'Balance Sheet'!D26</f>
        <v>12275</v>
      </c>
      <c r="E29" s="25">
        <f>'Balance Sheet'!E26</f>
        <v>10373</v>
      </c>
      <c r="F29" s="25">
        <f>'Balance Sheet'!F26</f>
        <v>8463</v>
      </c>
      <c r="G29" s="25">
        <f>'Balance Sheet'!G26</f>
        <v>10280</v>
      </c>
      <c r="H29" s="25">
        <f>'Balance Sheet'!H26</f>
        <v>10733.931044999999</v>
      </c>
      <c r="I29" s="25">
        <f>'Balance Sheet'!I26</f>
        <v>10435.643632008721</v>
      </c>
      <c r="J29" s="25">
        <f>'Balance Sheet'!J26</f>
        <v>11841.869280224548</v>
      </c>
      <c r="K29" s="25">
        <f>'Balance Sheet'!K26</f>
        <v>12765.991322601818</v>
      </c>
      <c r="L29" s="28">
        <f>'Balance Sheet'!L26</f>
        <v>13462.154647250327</v>
      </c>
    </row>
    <row r="30" spans="2:12" x14ac:dyDescent="0.2">
      <c r="B30" s="11" t="s">
        <v>177</v>
      </c>
      <c r="C30" s="25">
        <f>'Balance Sheet'!C29</f>
        <v>856</v>
      </c>
      <c r="D30" s="25">
        <f>'Balance Sheet'!D29</f>
        <v>780</v>
      </c>
      <c r="E30" s="25">
        <f>'Balance Sheet'!E29</f>
        <v>825</v>
      </c>
      <c r="F30" s="25">
        <f>'Balance Sheet'!F29</f>
        <v>1222</v>
      </c>
      <c r="G30" s="25">
        <f>'Balance Sheet'!G29</f>
        <v>1533</v>
      </c>
      <c r="H30" s="25">
        <f>'Balance Sheet'!H29</f>
        <v>1823.233172</v>
      </c>
      <c r="I30" s="25">
        <f>'Balance Sheet'!I29</f>
        <v>2480.4517406220002</v>
      </c>
      <c r="J30" s="25">
        <f>'Balance Sheet'!J29</f>
        <v>2784.439533458205</v>
      </c>
      <c r="K30" s="25">
        <f>'Balance Sheet'!K29</f>
        <v>3187.4431326724966</v>
      </c>
      <c r="L30" s="28">
        <f>'Balance Sheet'!L29</f>
        <v>3577.8312396891533</v>
      </c>
    </row>
    <row r="31" spans="2:12" x14ac:dyDescent="0.2">
      <c r="B31" s="11" t="s">
        <v>178</v>
      </c>
      <c r="C31" s="25">
        <f>'Balance Sheet'!C30</f>
        <v>3425</v>
      </c>
      <c r="D31" s="25">
        <f>'Balance Sheet'!D30</f>
        <v>3512</v>
      </c>
      <c r="E31" s="25">
        <f>'Balance Sheet'!E30</f>
        <v>3555</v>
      </c>
      <c r="F31" s="25">
        <f>'Balance Sheet'!F30</f>
        <v>3281</v>
      </c>
      <c r="G31" s="25">
        <f>'Balance Sheet'!G30</f>
        <v>3814</v>
      </c>
      <c r="H31" s="25">
        <f>'Balance Sheet'!H30</f>
        <v>4203.8277799999996</v>
      </c>
      <c r="I31" s="25">
        <f>'Balance Sheet'!I30</f>
        <v>4285.333291725</v>
      </c>
      <c r="J31" s="25">
        <f>'Balance Sheet'!J30</f>
        <v>4470.0389445171941</v>
      </c>
      <c r="K31" s="25">
        <f>'Balance Sheet'!K30</f>
        <v>4820.5853737944472</v>
      </c>
      <c r="L31" s="28">
        <f>'Balance Sheet'!L30</f>
        <v>5134.960450317988</v>
      </c>
    </row>
    <row r="32" spans="2:12" x14ac:dyDescent="0.2">
      <c r="B32" s="11" t="s">
        <v>179</v>
      </c>
      <c r="C32" s="25">
        <f>'Balance Sheet'!C31</f>
        <v>1120</v>
      </c>
      <c r="D32" s="25">
        <f>'Balance Sheet'!D31</f>
        <v>1161</v>
      </c>
      <c r="E32" s="25">
        <f>'Balance Sheet'!E31</f>
        <v>1260</v>
      </c>
      <c r="F32" s="25">
        <f>'Balance Sheet'!F31</f>
        <v>1175</v>
      </c>
      <c r="G32" s="25">
        <f>'Balance Sheet'!G31</f>
        <v>1163</v>
      </c>
      <c r="H32" s="25">
        <f>'Balance Sheet'!H31</f>
        <v>1331.9993639999998</v>
      </c>
      <c r="I32" s="25">
        <f>'Balance Sheet'!I31</f>
        <v>1532.6368478639999</v>
      </c>
      <c r="J32" s="25">
        <f>'Balance Sheet'!J31</f>
        <v>1685.59941105899</v>
      </c>
      <c r="K32" s="25">
        <f>'Balance Sheet'!K31</f>
        <v>1655.6683409994946</v>
      </c>
      <c r="L32" s="28">
        <f>'Balance Sheet'!L31</f>
        <v>1652.2210708199082</v>
      </c>
    </row>
    <row r="33" spans="2:12" x14ac:dyDescent="0.2">
      <c r="B33" s="11" t="s">
        <v>180</v>
      </c>
      <c r="C33" s="25">
        <f>'Balance Sheet'!C32</f>
        <v>1070</v>
      </c>
      <c r="D33" s="25">
        <f>'Balance Sheet'!D32</f>
        <v>1850</v>
      </c>
      <c r="E33" s="25">
        <f>'Balance Sheet'!E32</f>
        <v>1296</v>
      </c>
      <c r="F33" s="25">
        <f>'Balance Sheet'!F32</f>
        <v>1965</v>
      </c>
      <c r="G33" s="25">
        <f>'Balance Sheet'!G32</f>
        <v>2575</v>
      </c>
      <c r="H33" s="25">
        <f>'Balance Sheet'!H32</f>
        <v>2881.2752199999995</v>
      </c>
      <c r="I33" s="25">
        <f>'Balance Sheet'!I32</f>
        <v>3236.6870273969998</v>
      </c>
      <c r="J33" s="25">
        <f>'Balance Sheet'!J32</f>
        <v>3360.5304714150748</v>
      </c>
      <c r="K33" s="25">
        <f>'Balance Sheet'!K32</f>
        <v>3705.5434298560117</v>
      </c>
      <c r="L33" s="121">
        <f>'Balance Sheet'!L32</f>
        <v>3958.1986804534495</v>
      </c>
    </row>
    <row r="34" spans="2:12" x14ac:dyDescent="0.2">
      <c r="B34" s="341" t="s">
        <v>277</v>
      </c>
      <c r="C34" s="61">
        <f t="shared" ref="C34:L34" si="15">SUM(C29:C33)</f>
        <v>17876</v>
      </c>
      <c r="D34" s="61">
        <f t="shared" si="15"/>
        <v>19578</v>
      </c>
      <c r="E34" s="61">
        <f t="shared" si="15"/>
        <v>17309</v>
      </c>
      <c r="F34" s="61">
        <f t="shared" si="15"/>
        <v>16106</v>
      </c>
      <c r="G34" s="61">
        <f t="shared" si="15"/>
        <v>19365</v>
      </c>
      <c r="H34" s="61">
        <f t="shared" si="15"/>
        <v>20974.266580999996</v>
      </c>
      <c r="I34" s="61">
        <f t="shared" si="15"/>
        <v>21970.752539616718</v>
      </c>
      <c r="J34" s="61">
        <f t="shared" si="15"/>
        <v>24142.477640674009</v>
      </c>
      <c r="K34" s="61">
        <f t="shared" si="15"/>
        <v>26135.231599924267</v>
      </c>
      <c r="L34" s="122">
        <f t="shared" si="15"/>
        <v>27785.366088530827</v>
      </c>
    </row>
    <row r="35" spans="2:12" x14ac:dyDescent="0.2">
      <c r="B35" s="344"/>
      <c r="C35" s="342"/>
      <c r="D35" s="342"/>
      <c r="E35" s="342"/>
      <c r="F35" s="342"/>
      <c r="G35" s="342"/>
      <c r="H35" s="342"/>
      <c r="I35" s="342"/>
      <c r="J35" s="342"/>
      <c r="K35" s="342"/>
      <c r="L35" s="343"/>
    </row>
    <row r="36" spans="2:12" x14ac:dyDescent="0.2">
      <c r="B36" s="344" t="s">
        <v>278</v>
      </c>
      <c r="C36" s="199">
        <f>-(C26-23885)</f>
        <v>9625</v>
      </c>
      <c r="D36" s="199">
        <f t="shared" ref="D36:L36" si="16">-(D26-C26)</f>
        <v>-300</v>
      </c>
      <c r="E36" s="199">
        <f t="shared" si="16"/>
        <v>680</v>
      </c>
      <c r="F36" s="199">
        <f t="shared" si="16"/>
        <v>885</v>
      </c>
      <c r="G36" s="199">
        <f t="shared" si="16"/>
        <v>-5868</v>
      </c>
      <c r="H36" s="199">
        <f t="shared" si="16"/>
        <v>-2185.8574450000015</v>
      </c>
      <c r="I36" s="199">
        <f t="shared" si="16"/>
        <v>143.13560786735616</v>
      </c>
      <c r="J36" s="199">
        <f t="shared" si="16"/>
        <v>461.0322070956754</v>
      </c>
      <c r="K36" s="199">
        <f t="shared" si="16"/>
        <v>747.41602366207371</v>
      </c>
      <c r="L36" s="233">
        <f t="shared" si="16"/>
        <v>-989.43319513514871</v>
      </c>
    </row>
    <row r="37" spans="2:12" x14ac:dyDescent="0.2">
      <c r="B37" s="344" t="s">
        <v>279</v>
      </c>
      <c r="C37" s="200">
        <f>C34-21703</f>
        <v>-3827</v>
      </c>
      <c r="D37" s="200">
        <f>D34-C34</f>
        <v>1702</v>
      </c>
      <c r="E37" s="200">
        <f t="shared" ref="E37:G37" si="17">E34-D34</f>
        <v>-2269</v>
      </c>
      <c r="F37" s="200">
        <f t="shared" si="17"/>
        <v>-1203</v>
      </c>
      <c r="G37" s="200">
        <f t="shared" si="17"/>
        <v>3259</v>
      </c>
      <c r="H37" s="200">
        <f>H34-G34</f>
        <v>1609.2665809999962</v>
      </c>
      <c r="I37" s="200">
        <f>I34-H34</f>
        <v>996.4859586167222</v>
      </c>
      <c r="J37" s="200">
        <f>J34-I34</f>
        <v>2171.7251010572909</v>
      </c>
      <c r="K37" s="200">
        <f>K34-J34</f>
        <v>1992.753959250258</v>
      </c>
      <c r="L37" s="234">
        <f>L34-K34</f>
        <v>1650.1344886065599</v>
      </c>
    </row>
    <row r="38" spans="2:12" x14ac:dyDescent="0.2">
      <c r="B38" s="341" t="s">
        <v>280</v>
      </c>
      <c r="C38" s="22">
        <f>SUM(C36:C37)</f>
        <v>5798</v>
      </c>
      <c r="D38" s="22">
        <f t="shared" ref="D38:G38" si="18">SUM(D36:D37)</f>
        <v>1402</v>
      </c>
      <c r="E38" s="22">
        <f t="shared" si="18"/>
        <v>-1589</v>
      </c>
      <c r="F38" s="22">
        <f t="shared" si="18"/>
        <v>-318</v>
      </c>
      <c r="G38" s="22">
        <f t="shared" si="18"/>
        <v>-2609</v>
      </c>
      <c r="H38" s="22">
        <f>SUM(H36:H37)</f>
        <v>-576.59086400000524</v>
      </c>
      <c r="I38" s="22">
        <f>SUM(I36:I37)</f>
        <v>1139.6215664840784</v>
      </c>
      <c r="J38" s="22">
        <f>SUM(J36:J37)</f>
        <v>2632.7573081529663</v>
      </c>
      <c r="K38" s="22">
        <f>SUM(K36:K37)</f>
        <v>2740.1699829123318</v>
      </c>
      <c r="L38" s="32">
        <f>SUM(L36:L37)</f>
        <v>660.70129347141119</v>
      </c>
    </row>
    <row r="39" spans="2:12" x14ac:dyDescent="0.2">
      <c r="B39" s="344"/>
      <c r="C39" s="342"/>
      <c r="D39" s="342"/>
      <c r="E39" s="342"/>
      <c r="F39" s="342"/>
      <c r="G39" s="342"/>
      <c r="H39" s="342"/>
      <c r="I39" s="342"/>
      <c r="J39" s="342"/>
      <c r="K39" s="342"/>
      <c r="L39" s="343"/>
    </row>
    <row r="40" spans="2:12" x14ac:dyDescent="0.2">
      <c r="B40" s="341" t="s">
        <v>281</v>
      </c>
      <c r="C40" s="342"/>
      <c r="D40" s="342"/>
      <c r="E40" s="342"/>
      <c r="F40" s="342"/>
      <c r="G40" s="342"/>
      <c r="H40" s="342"/>
      <c r="I40" s="342"/>
      <c r="J40" s="342"/>
      <c r="K40" s="342"/>
      <c r="L40" s="343"/>
    </row>
    <row r="41" spans="2:12" x14ac:dyDescent="0.2">
      <c r="B41" s="11" t="s">
        <v>164</v>
      </c>
      <c r="C41" s="25">
        <f>'Balance Sheet'!C15</f>
        <v>26959</v>
      </c>
      <c r="D41" s="25">
        <f>'Balance Sheet'!D15</f>
        <v>28715</v>
      </c>
      <c r="E41" s="25">
        <f>'Balance Sheet'!E15</f>
        <v>27135</v>
      </c>
      <c r="F41" s="25">
        <f>'Balance Sheet'!F15</f>
        <v>25398</v>
      </c>
      <c r="G41" s="25">
        <f>'Balance Sheet'!G15</f>
        <v>25692</v>
      </c>
      <c r="H41" s="25">
        <f>'Balance Sheet'!H15</f>
        <v>26923.391399999997</v>
      </c>
      <c r="I41" s="25">
        <f>'Balance Sheet'!I15</f>
        <v>28031.121296460002</v>
      </c>
      <c r="J41" s="25">
        <f>'Balance Sheet'!J15</f>
        <v>29231.280925959698</v>
      </c>
      <c r="K41" s="25">
        <f>'Balance Sheet'!K15</f>
        <v>30410.234834684601</v>
      </c>
      <c r="L41" s="28">
        <f>'Balance Sheet'!L15</f>
        <v>32093.502814487427</v>
      </c>
    </row>
    <row r="42" spans="2:12" x14ac:dyDescent="0.2">
      <c r="B42" s="11" t="s">
        <v>165</v>
      </c>
      <c r="C42" s="25">
        <f>'Balance Sheet'!C16</f>
        <v>3322</v>
      </c>
      <c r="D42" s="25">
        <f>'Balance Sheet'!D16</f>
        <v>3257</v>
      </c>
      <c r="E42" s="25">
        <f>'Balance Sheet'!E16</f>
        <v>3270</v>
      </c>
      <c r="F42" s="25">
        <f>'Balance Sheet'!F16</f>
        <v>3091</v>
      </c>
      <c r="G42" s="25">
        <f>'Balance Sheet'!G16</f>
        <v>2760</v>
      </c>
      <c r="H42" s="25">
        <f>'Balance Sheet'!H16</f>
        <v>2881.2752199999995</v>
      </c>
      <c r="I42" s="25">
        <f>'Balance Sheet'!I16</f>
        <v>3024.9411470999999</v>
      </c>
      <c r="J42" s="25">
        <f>'Balance Sheet'!J16</f>
        <v>3093.8217038424496</v>
      </c>
      <c r="K42" s="25">
        <f>'Balance Sheet'!K16</f>
        <v>3153.6539828561804</v>
      </c>
      <c r="L42" s="28">
        <f>'Balance Sheet'!L16</f>
        <v>3268.7826940681634</v>
      </c>
    </row>
    <row r="43" spans="2:12" x14ac:dyDescent="0.2">
      <c r="B43" s="11" t="s">
        <v>166</v>
      </c>
      <c r="C43" s="25">
        <f>'Balance Sheet'!C17</f>
        <v>12188</v>
      </c>
      <c r="D43" s="25">
        <f>'Balance Sheet'!D17</f>
        <v>12234</v>
      </c>
      <c r="E43" s="25">
        <f>'Balance Sheet'!E17</f>
        <v>12234</v>
      </c>
      <c r="F43" s="25">
        <f>'Balance Sheet'!F17</f>
        <v>13005</v>
      </c>
      <c r="G43" s="25">
        <f>'Balance Sheet'!G17</f>
        <v>13678</v>
      </c>
      <c r="H43" s="25">
        <f>'Balance Sheet'!H17</f>
        <v>13678</v>
      </c>
      <c r="I43" s="25">
        <f>'Balance Sheet'!I17</f>
        <v>13678</v>
      </c>
      <c r="J43" s="25">
        <f>'Balance Sheet'!J17</f>
        <v>13678</v>
      </c>
      <c r="K43" s="25">
        <f>'Balance Sheet'!K17</f>
        <v>13678</v>
      </c>
      <c r="L43" s="28">
        <f>'Balance Sheet'!L17</f>
        <v>13678</v>
      </c>
    </row>
    <row r="44" spans="2:12" x14ac:dyDescent="0.2">
      <c r="B44" s="11" t="s">
        <v>167</v>
      </c>
      <c r="C44" s="25">
        <f>'Balance Sheet'!C18</f>
        <v>92606</v>
      </c>
      <c r="D44" s="25">
        <f>'Balance Sheet'!D18</f>
        <v>95798</v>
      </c>
      <c r="E44" s="25">
        <f>'Balance Sheet'!E18</f>
        <v>96707</v>
      </c>
      <c r="F44" s="25">
        <f>'Balance Sheet'!F18</f>
        <v>100558</v>
      </c>
      <c r="G44" s="25">
        <f>'Balance Sheet'!G18</f>
        <v>98032</v>
      </c>
      <c r="H44" s="25">
        <f>'Balance Sheet'!H18</f>
        <v>98032</v>
      </c>
      <c r="I44" s="25">
        <f>'Balance Sheet'!I18</f>
        <v>98032</v>
      </c>
      <c r="J44" s="25">
        <f>'Balance Sheet'!J18</f>
        <v>98032</v>
      </c>
      <c r="K44" s="25">
        <f>'Balance Sheet'!K18</f>
        <v>98032</v>
      </c>
      <c r="L44" s="28">
        <f>'Balance Sheet'!L18</f>
        <v>98032</v>
      </c>
    </row>
    <row r="45" spans="2:12" x14ac:dyDescent="0.2">
      <c r="B45" s="11" t="s">
        <v>168</v>
      </c>
      <c r="C45" s="25">
        <f>'Balance Sheet'!C19</f>
        <v>4733</v>
      </c>
      <c r="D45" s="25">
        <f>'Balance Sheet'!D19</f>
        <v>3508</v>
      </c>
      <c r="E45" s="25">
        <f>'Balance Sheet'!E19</f>
        <v>2618</v>
      </c>
      <c r="F45" s="25">
        <f>'Balance Sheet'!F19</f>
        <v>2512</v>
      </c>
      <c r="G45" s="25">
        <f>'Balance Sheet'!G19</f>
        <v>3843</v>
      </c>
      <c r="H45" s="25">
        <f>'Balance Sheet'!H19</f>
        <v>3778.7215999999999</v>
      </c>
      <c r="I45" s="25">
        <f>'Balance Sheet'!I19</f>
        <v>3629.92937652</v>
      </c>
      <c r="J45" s="25">
        <f>'Balance Sheet'!J19</f>
        <v>3413.8722249295997</v>
      </c>
      <c r="K45" s="25">
        <f>'Balance Sheet'!K19</f>
        <v>3435.2302313254822</v>
      </c>
      <c r="L45" s="28">
        <f>'Balance Sheet'!L19</f>
        <v>3625.3771697846905</v>
      </c>
    </row>
    <row r="46" spans="2:12" x14ac:dyDescent="0.2">
      <c r="B46" s="11" t="s">
        <v>169</v>
      </c>
      <c r="C46" s="25">
        <f>'Balance Sheet'!C20</f>
        <v>2829</v>
      </c>
      <c r="D46" s="25">
        <f>'Balance Sheet'!D20</f>
        <v>2546</v>
      </c>
      <c r="E46" s="25">
        <f>'Balance Sheet'!E20</f>
        <v>2042</v>
      </c>
      <c r="F46" s="25">
        <f>'Balance Sheet'!F20</f>
        <v>2209</v>
      </c>
      <c r="G46" s="25">
        <f>'Balance Sheet'!G20</f>
        <v>2683</v>
      </c>
      <c r="H46" s="25">
        <f>'Balance Sheet'!H20</f>
        <v>2928.5092399999999</v>
      </c>
      <c r="I46" s="25">
        <f>'Balance Sheet'!I20</f>
        <v>3176.1882044550002</v>
      </c>
      <c r="J46" s="25">
        <f>'Balance Sheet'!J20</f>
        <v>3307.1887179005494</v>
      </c>
      <c r="K46" s="25">
        <f>'Balance Sheet'!K20</f>
        <v>3435.2302313254822</v>
      </c>
      <c r="L46" s="28">
        <f>'Balance Sheet'!L20</f>
        <v>3625.3771697846905</v>
      </c>
    </row>
    <row r="47" spans="2:12" x14ac:dyDescent="0.2">
      <c r="B47" s="11" t="s">
        <v>170</v>
      </c>
      <c r="C47" s="25">
        <f>'Balance Sheet'!C21</f>
        <v>3232</v>
      </c>
      <c r="D47" s="25">
        <f>'Balance Sheet'!D21</f>
        <v>4127</v>
      </c>
      <c r="E47" s="25">
        <f>'Balance Sheet'!E21</f>
        <v>4229</v>
      </c>
      <c r="F47" s="25">
        <f>'Balance Sheet'!F21</f>
        <v>4325</v>
      </c>
      <c r="G47" s="25">
        <f>'Balance Sheet'!G21</f>
        <v>9755</v>
      </c>
      <c r="H47" s="25">
        <f>'Balance Sheet'!H21</f>
        <v>7557.4431999999997</v>
      </c>
      <c r="I47" s="25">
        <f>'Balance Sheet'!I21</f>
        <v>6049.8822941999997</v>
      </c>
      <c r="J47" s="25">
        <f>'Balance Sheet'!J21</f>
        <v>5867.5928865977494</v>
      </c>
      <c r="K47" s="25">
        <f>'Balance Sheet'!K21</f>
        <v>5631.5249693860369</v>
      </c>
      <c r="L47" s="121">
        <f>'Balance Sheet'!L21</f>
        <v>5705.5116114644316</v>
      </c>
    </row>
    <row r="48" spans="2:12" x14ac:dyDescent="0.2">
      <c r="B48" s="341" t="s">
        <v>282</v>
      </c>
      <c r="C48" s="61">
        <f t="shared" ref="C48:L48" si="19">SUM(C41:C47)</f>
        <v>145869</v>
      </c>
      <c r="D48" s="61">
        <f t="shared" si="19"/>
        <v>150185</v>
      </c>
      <c r="E48" s="61">
        <f t="shared" si="19"/>
        <v>148235</v>
      </c>
      <c r="F48" s="61">
        <f t="shared" si="19"/>
        <v>151098</v>
      </c>
      <c r="G48" s="61">
        <f t="shared" si="19"/>
        <v>156443</v>
      </c>
      <c r="H48" s="61">
        <f t="shared" si="19"/>
        <v>155779.34066000002</v>
      </c>
      <c r="I48" s="61">
        <f t="shared" si="19"/>
        <v>155622.062318735</v>
      </c>
      <c r="J48" s="61">
        <f t="shared" si="19"/>
        <v>156623.75645923003</v>
      </c>
      <c r="K48" s="61">
        <f t="shared" si="19"/>
        <v>157775.87424957778</v>
      </c>
      <c r="L48" s="122">
        <f t="shared" si="19"/>
        <v>160028.55145958939</v>
      </c>
    </row>
    <row r="49" spans="2:12" x14ac:dyDescent="0.2">
      <c r="B49" s="11"/>
      <c r="C49" s="31"/>
      <c r="D49" s="31"/>
      <c r="E49" s="31"/>
      <c r="F49" s="31"/>
      <c r="G49" s="31"/>
      <c r="H49" s="31"/>
      <c r="I49" s="31"/>
      <c r="J49" s="31"/>
      <c r="K49" s="31"/>
      <c r="L49" s="34"/>
    </row>
    <row r="50" spans="2:12" x14ac:dyDescent="0.2">
      <c r="B50" s="11" t="s">
        <v>226</v>
      </c>
      <c r="C50" s="25">
        <f>'Balance Sheet'!C102</f>
        <v>2806</v>
      </c>
      <c r="D50" s="25">
        <f>'Balance Sheet'!D102</f>
        <v>3934</v>
      </c>
      <c r="E50" s="25">
        <f>'Balance Sheet'!E102</f>
        <v>3777</v>
      </c>
      <c r="F50" s="25">
        <f>'Balance Sheet'!F102</f>
        <v>3664</v>
      </c>
      <c r="G50" s="25">
        <f>'Balance Sheet'!G102</f>
        <v>3532</v>
      </c>
      <c r="H50" s="25">
        <f>'Balance Sheet'!H102</f>
        <v>4109.3597399999999</v>
      </c>
      <c r="I50" s="25">
        <f>'Balance Sheet'!I102</f>
        <v>4708.825052319</v>
      </c>
      <c r="J50" s="25">
        <f>'Balance Sheet'!J102</f>
        <v>5046.1298824740643</v>
      </c>
      <c r="K50" s="25">
        <f>'Balance Sheet'!K102</f>
        <v>5057.1094225086608</v>
      </c>
      <c r="L50" s="28">
        <f>'Balance Sheet'!L102</f>
        <v>5170.61989788964</v>
      </c>
    </row>
    <row r="51" spans="2:12" x14ac:dyDescent="0.2">
      <c r="B51" s="11" t="s">
        <v>227</v>
      </c>
      <c r="C51" s="25">
        <f>'Balance Sheet'!C103</f>
        <v>10216</v>
      </c>
      <c r="D51" s="25">
        <f>'Balance Sheet'!D103</f>
        <v>10884</v>
      </c>
      <c r="E51" s="25">
        <f>'Balance Sheet'!E103</f>
        <v>13458</v>
      </c>
      <c r="F51" s="25">
        <f>'Balance Sheet'!F103</f>
        <v>16700</v>
      </c>
      <c r="G51" s="25">
        <f>'Balance Sheet'!G103</f>
        <v>19583</v>
      </c>
      <c r="H51" s="25">
        <f>'Balance Sheet'!H103</f>
        <v>21859.904455999997</v>
      </c>
      <c r="I51" s="25">
        <f>'Balance Sheet'!I103</f>
        <v>24744.018583278001</v>
      </c>
      <c r="J51" s="25">
        <f>'Balance Sheet'!J103</f>
        <v>27929.742140205282</v>
      </c>
      <c r="K51" s="25">
        <f>'Balance Sheet'!K103</f>
        <v>31097.280880949696</v>
      </c>
      <c r="L51" s="28">
        <f>'Balance Sheet'!L103</f>
        <v>33424.788857162457</v>
      </c>
    </row>
    <row r="52" spans="2:12" x14ac:dyDescent="0.2">
      <c r="B52" s="11" t="s">
        <v>228</v>
      </c>
      <c r="C52" s="25">
        <f>'Balance Sheet'!C104</f>
        <v>25818</v>
      </c>
      <c r="D52" s="25">
        <f>'Balance Sheet'!D104</f>
        <v>29855</v>
      </c>
      <c r="E52" s="25">
        <f>'Balance Sheet'!E104</f>
        <v>28240</v>
      </c>
      <c r="F52" s="25">
        <f>'Balance Sheet'!F104</f>
        <v>26408</v>
      </c>
      <c r="G52" s="25">
        <f>'Balance Sheet'!G104</f>
        <v>26371</v>
      </c>
      <c r="H52" s="25">
        <f>'Balance Sheet'!H104</f>
        <v>32619.814211999997</v>
      </c>
      <c r="I52" s="25">
        <f>'Balance Sheet'!I104</f>
        <v>32437.452234068998</v>
      </c>
      <c r="J52" s="25">
        <f>'Balance Sheet'!J104</f>
        <v>38203.363867102795</v>
      </c>
      <c r="K52" s="25">
        <f>'Balance Sheet'!K104</f>
        <v>41876.019672354567</v>
      </c>
      <c r="L52" s="28">
        <f>'Balance Sheet'!L104</f>
        <v>47664.79492077577</v>
      </c>
    </row>
    <row r="53" spans="2:12" x14ac:dyDescent="0.2">
      <c r="B53" s="11" t="s">
        <v>229</v>
      </c>
      <c r="C53" s="25">
        <f>'Balance Sheet'!C105</f>
        <v>1455</v>
      </c>
      <c r="D53" s="25">
        <f>'Balance Sheet'!D105</f>
        <v>1370</v>
      </c>
      <c r="E53" s="25">
        <f>'Balance Sheet'!E105</f>
        <v>1236</v>
      </c>
      <c r="F53" s="25">
        <f>'Balance Sheet'!F105</f>
        <v>1151</v>
      </c>
      <c r="G53" s="25">
        <f>'Balance Sheet'!G105</f>
        <v>1107</v>
      </c>
      <c r="H53" s="25">
        <f>'Balance Sheet'!H105</f>
        <v>1105.2760679999999</v>
      </c>
      <c r="I53" s="25">
        <f>'Balance Sheet'!I105</f>
        <v>1088.9788129560002</v>
      </c>
      <c r="J53" s="25">
        <f>'Balance Sheet'!J105</f>
        <v>1088.1717716963099</v>
      </c>
      <c r="K53" s="25">
        <f>'Balance Sheet'!K105</f>
        <v>1081.252794122119</v>
      </c>
      <c r="L53" s="28">
        <f>'Balance Sheet'!L105</f>
        <v>1046.0104621018124</v>
      </c>
    </row>
    <row r="54" spans="2:12" x14ac:dyDescent="0.2">
      <c r="B54" s="11" t="s">
        <v>230</v>
      </c>
      <c r="C54" s="25">
        <f>'Balance Sheet'!C106</f>
        <v>5097</v>
      </c>
      <c r="D54" s="25">
        <f>'Balance Sheet'!D106</f>
        <v>4101</v>
      </c>
      <c r="E54" s="25">
        <f>'Balance Sheet'!E106</f>
        <v>3929</v>
      </c>
      <c r="F54" s="25">
        <f>'Balance Sheet'!F106</f>
        <v>4000</v>
      </c>
      <c r="G54" s="25">
        <f>'Balance Sheet'!G106</f>
        <v>3794</v>
      </c>
      <c r="H54" s="124">
        <f>'Balance Sheet'!H106</f>
        <v>3910.9768559999998</v>
      </c>
      <c r="I54" s="124">
        <f>'Balance Sheet'!I106</f>
        <v>3902.1740797590001</v>
      </c>
      <c r="J54" s="124">
        <f>'Balance Sheet'!J106</f>
        <v>3829.9379023428946</v>
      </c>
      <c r="K54" s="124">
        <f>'Balance Sheet'!K106</f>
        <v>3885.7522288763657</v>
      </c>
      <c r="L54" s="121">
        <f>'Balance Sheet'!L106</f>
        <v>3946.3121979295647</v>
      </c>
    </row>
    <row r="55" spans="2:12" x14ac:dyDescent="0.2">
      <c r="B55" s="341" t="s">
        <v>283</v>
      </c>
      <c r="C55" s="61">
        <f>SUM(C50:C54)</f>
        <v>45392</v>
      </c>
      <c r="D55" s="61">
        <f t="shared" ref="D55:L55" si="20">SUM(D50:D54)</f>
        <v>50144</v>
      </c>
      <c r="E55" s="61">
        <f t="shared" si="20"/>
        <v>50640</v>
      </c>
      <c r="F55" s="61">
        <f t="shared" si="20"/>
        <v>51923</v>
      </c>
      <c r="G55" s="61">
        <f t="shared" si="20"/>
        <v>54387</v>
      </c>
      <c r="H55" s="61">
        <f t="shared" si="20"/>
        <v>63605.331331999994</v>
      </c>
      <c r="I55" s="61">
        <f t="shared" si="20"/>
        <v>66881.448762380998</v>
      </c>
      <c r="J55" s="61">
        <f t="shared" si="20"/>
        <v>76097.345563821335</v>
      </c>
      <c r="K55" s="61">
        <f t="shared" si="20"/>
        <v>82997.414998811408</v>
      </c>
      <c r="L55" s="122">
        <f t="shared" si="20"/>
        <v>91252.526335859249</v>
      </c>
    </row>
    <row r="56" spans="2:12" x14ac:dyDescent="0.2">
      <c r="B56" s="11"/>
      <c r="C56" s="22"/>
      <c r="D56" s="22"/>
      <c r="E56" s="22"/>
      <c r="F56" s="22"/>
      <c r="G56" s="22"/>
      <c r="H56" s="22"/>
      <c r="I56" s="22"/>
      <c r="J56" s="22"/>
      <c r="K56" s="22"/>
      <c r="L56" s="32"/>
    </row>
    <row r="57" spans="2:12" x14ac:dyDescent="0.2">
      <c r="B57" s="344"/>
      <c r="C57" s="350"/>
      <c r="D57" s="342"/>
      <c r="E57" s="342"/>
      <c r="F57" s="342"/>
      <c r="G57" s="342"/>
      <c r="H57" s="342"/>
      <c r="I57" s="342"/>
      <c r="J57" s="342"/>
      <c r="K57" s="342"/>
      <c r="L57" s="343"/>
    </row>
    <row r="58" spans="2:12" x14ac:dyDescent="0.2">
      <c r="B58" s="344" t="s">
        <v>284</v>
      </c>
      <c r="C58" s="342"/>
      <c r="D58" s="199">
        <f>-(D48-C48)</f>
        <v>-4316</v>
      </c>
      <c r="E58" s="199">
        <f t="shared" ref="E58:L58" si="21">-(E48-D48)</f>
        <v>1950</v>
      </c>
      <c r="F58" s="199">
        <f t="shared" si="21"/>
        <v>-2863</v>
      </c>
      <c r="G58" s="199">
        <f t="shared" si="21"/>
        <v>-5345</v>
      </c>
      <c r="H58" s="199">
        <f t="shared" si="21"/>
        <v>663.65933999998379</v>
      </c>
      <c r="I58" s="199">
        <f t="shared" si="21"/>
        <v>157.27834126501693</v>
      </c>
      <c r="J58" s="199">
        <f t="shared" si="21"/>
        <v>-1001.6941404950339</v>
      </c>
      <c r="K58" s="199">
        <f t="shared" si="21"/>
        <v>-1152.117790347751</v>
      </c>
      <c r="L58" s="351">
        <f t="shared" si="21"/>
        <v>-2252.6772100116068</v>
      </c>
    </row>
    <row r="59" spans="2:12" x14ac:dyDescent="0.2">
      <c r="B59" s="344" t="s">
        <v>285</v>
      </c>
      <c r="C59" s="342"/>
      <c r="D59" s="199">
        <f>D55-C55</f>
        <v>4752</v>
      </c>
      <c r="E59" s="199">
        <f t="shared" ref="E59:G59" si="22">E55-D55</f>
        <v>496</v>
      </c>
      <c r="F59" s="199">
        <f t="shared" si="22"/>
        <v>1283</v>
      </c>
      <c r="G59" s="199">
        <f t="shared" si="22"/>
        <v>2464</v>
      </c>
      <c r="H59" s="199">
        <f t="shared" ref="H59" si="23">H55-G55</f>
        <v>9218.3313319999943</v>
      </c>
      <c r="I59" s="199">
        <f t="shared" ref="I59" si="24">I55-H55</f>
        <v>3276.1174303810039</v>
      </c>
      <c r="J59" s="199">
        <f t="shared" ref="J59" si="25">J55-I55</f>
        <v>9215.8968014403363</v>
      </c>
      <c r="K59" s="199">
        <f t="shared" ref="K59" si="26">K55-J55</f>
        <v>6900.0694349900732</v>
      </c>
      <c r="L59" s="352">
        <f t="shared" ref="L59" si="27">L55-K55</f>
        <v>8255.1113370478415</v>
      </c>
    </row>
    <row r="60" spans="2:12" x14ac:dyDescent="0.2">
      <c r="B60" s="353" t="s">
        <v>286</v>
      </c>
      <c r="C60" s="354"/>
      <c r="D60" s="63">
        <f>SUM(D58:D59)</f>
        <v>436</v>
      </c>
      <c r="E60" s="63">
        <f t="shared" ref="E60:L60" si="28">SUM(E58:E59)</f>
        <v>2446</v>
      </c>
      <c r="F60" s="63">
        <f t="shared" si="28"/>
        <v>-1580</v>
      </c>
      <c r="G60" s="63">
        <f t="shared" si="28"/>
        <v>-2881</v>
      </c>
      <c r="H60" s="63">
        <f t="shared" si="28"/>
        <v>9881.9906719999781</v>
      </c>
      <c r="I60" s="63">
        <f t="shared" si="28"/>
        <v>3433.3957716460209</v>
      </c>
      <c r="J60" s="63">
        <f t="shared" si="28"/>
        <v>8214.2026609453023</v>
      </c>
      <c r="K60" s="63">
        <f t="shared" si="28"/>
        <v>5747.9516446423222</v>
      </c>
      <c r="L60" s="64">
        <f t="shared" si="28"/>
        <v>6002.4341270362347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6C679-EC0C-4FCA-A38B-5FD7A2646124}">
  <dimension ref="B2:P60"/>
  <sheetViews>
    <sheetView topLeftCell="C1" zoomScale="164" zoomScaleNormal="77" workbookViewId="0">
      <selection activeCell="L6" sqref="L6"/>
    </sheetView>
  </sheetViews>
  <sheetFormatPr baseColWidth="10" defaultColWidth="8.6640625" defaultRowHeight="15" x14ac:dyDescent="0.2"/>
  <cols>
    <col min="2" max="2" width="54.33203125" bestFit="1" customWidth="1"/>
    <col min="3" max="4" width="8.6640625" bestFit="1" customWidth="1"/>
    <col min="5" max="7" width="12.5" bestFit="1" customWidth="1"/>
    <col min="9" max="10" width="11.6640625" bestFit="1" customWidth="1"/>
    <col min="12" max="16" width="11.6640625" bestFit="1" customWidth="1"/>
  </cols>
  <sheetData>
    <row r="2" spans="2:16" x14ac:dyDescent="0.2">
      <c r="B2" s="536" t="s">
        <v>287</v>
      </c>
      <c r="C2" s="537" t="s">
        <v>10</v>
      </c>
      <c r="D2" s="537"/>
      <c r="E2" s="537"/>
      <c r="F2" s="537"/>
      <c r="G2" s="538"/>
      <c r="I2" s="542" t="s">
        <v>288</v>
      </c>
      <c r="J2" s="538"/>
      <c r="L2" s="542" t="s">
        <v>11</v>
      </c>
      <c r="M2" s="537"/>
      <c r="N2" s="537"/>
      <c r="O2" s="537"/>
      <c r="P2" s="538"/>
    </row>
    <row r="3" spans="2:16" x14ac:dyDescent="0.2">
      <c r="B3" s="539"/>
      <c r="C3" s="540" t="s">
        <v>13</v>
      </c>
      <c r="D3" s="540" t="s">
        <v>14</v>
      </c>
      <c r="E3" s="540" t="s">
        <v>15</v>
      </c>
      <c r="F3" s="540" t="s">
        <v>16</v>
      </c>
      <c r="G3" s="541" t="s">
        <v>17</v>
      </c>
      <c r="I3" s="543" t="s">
        <v>289</v>
      </c>
      <c r="J3" s="541" t="s">
        <v>290</v>
      </c>
      <c r="L3" s="543" t="s">
        <v>18</v>
      </c>
      <c r="M3" s="540" t="s">
        <v>19</v>
      </c>
      <c r="N3" s="540" t="s">
        <v>20</v>
      </c>
      <c r="O3" s="540" t="s">
        <v>21</v>
      </c>
      <c r="P3" s="541" t="s">
        <v>22</v>
      </c>
    </row>
    <row r="4" spans="2:16" x14ac:dyDescent="0.2">
      <c r="B4" s="15" t="s">
        <v>291</v>
      </c>
    </row>
    <row r="5" spans="2:16" x14ac:dyDescent="0.2">
      <c r="B5" s="10" t="s">
        <v>27</v>
      </c>
      <c r="C5" s="69"/>
      <c r="D5" s="355">
        <f>('Income Statement'!D8-'Income Statement'!C8)/'Income Statement'!C8</f>
        <v>5.0609056177080301E-2</v>
      </c>
      <c r="E5" s="355">
        <f>('Income Statement'!E8-'Income Statement'!D8)/'Income Statement'!D8</f>
        <v>3.127700862645337E-2</v>
      </c>
      <c r="F5" s="355">
        <f>('Income Statement'!F8-'Income Statement'!E8)/'Income Statement'!E8</f>
        <v>4.6441390869847096E-2</v>
      </c>
      <c r="G5" s="356">
        <f>('Income Statement'!G8-'Income Statement'!F8)/'Income Statement'!F8</f>
        <v>7.7487986944301729E-2</v>
      </c>
      <c r="I5" s="357">
        <f>AVERAGE(C5:G5)</f>
        <v>5.1453860654420626E-2</v>
      </c>
      <c r="J5" s="356">
        <f>AVERAGE(E5:G5)</f>
        <v>5.1735462146867396E-2</v>
      </c>
      <c r="L5" s="357">
        <f>'Income Statement'!H49</f>
        <v>7.9510419880515062E-2</v>
      </c>
      <c r="M5" s="355">
        <f>'Income Statement'!I49</f>
        <v>7.6120042631707824E-2</v>
      </c>
      <c r="N5" s="355">
        <f>'Income Statement'!J49</f>
        <v>6.4384383014166296E-2</v>
      </c>
      <c r="O5" s="355">
        <f>'Income Statement'!K49</f>
        <v>6.1391487856011701E-2</v>
      </c>
      <c r="P5" s="356">
        <f>'Income Statement'!L49</f>
        <v>6.074200765751378E-2</v>
      </c>
    </row>
    <row r="6" spans="2:16" x14ac:dyDescent="0.2">
      <c r="B6" s="11" t="s">
        <v>41</v>
      </c>
      <c r="C6" s="42"/>
      <c r="D6" s="17">
        <f>('Income Statement'!D11-'Income Statement'!C11)/'Income Statement'!C11</f>
        <v>-6.8274295414263962E-3</v>
      </c>
      <c r="E6" s="17">
        <f>('Income Statement'!E11-'Income Statement'!D11)/'Income Statement'!D11</f>
        <v>-1.2730768747407976E-2</v>
      </c>
      <c r="F6" s="17">
        <f>('Income Statement'!F11-'Income Statement'!E11)/'Income Statement'!E11</f>
        <v>3.6177092084829041E-2</v>
      </c>
      <c r="G6" s="358">
        <f>('Income Statement'!G11-'Income Statement'!F11)/'Income Statement'!F11</f>
        <v>8.4877149877149879E-2</v>
      </c>
      <c r="I6" s="359">
        <f>AVERAGE(C6:G6)</f>
        <v>2.5374010918286137E-2</v>
      </c>
      <c r="J6" s="360">
        <f>AVERAGE(E6:G6)</f>
        <v>3.6107824404856985E-2</v>
      </c>
      <c r="L6" s="361">
        <f>'Income Statement'!H52</f>
        <v>6.9744193683543107E-2</v>
      </c>
      <c r="M6" s="17">
        <f>'Income Statement'!I52</f>
        <v>6.7359623106396718E-2</v>
      </c>
      <c r="N6" s="17">
        <f>'Income Statement'!J52</f>
        <v>5.8038836206718444E-2</v>
      </c>
      <c r="O6" s="17">
        <f>'Income Statement'!K52</f>
        <v>5.5744252549284619E-2</v>
      </c>
      <c r="P6" s="358">
        <f>'Income Statement'!L52</f>
        <v>5.5352021743777007E-2</v>
      </c>
    </row>
    <row r="7" spans="2:16" x14ac:dyDescent="0.2">
      <c r="B7" s="11" t="s">
        <v>43</v>
      </c>
      <c r="C7" s="17">
        <f>'Income Statement'!C13/'Income Statement'!C11</f>
        <v>0.17391847025637186</v>
      </c>
      <c r="D7" s="17">
        <f>'Income Statement'!D13/'Income Statement'!D11</f>
        <v>0.18431338050294704</v>
      </c>
      <c r="E7" s="17">
        <f>'Income Statement'!E13/'Income Statement'!E11</f>
        <v>0.14836172000305506</v>
      </c>
      <c r="F7" s="17">
        <f>'Income Statement'!F13/'Income Statement'!F11</f>
        <v>0.13232186732186732</v>
      </c>
      <c r="G7" s="358">
        <f>'Income Statement'!G13/'Income Statement'!G11</f>
        <v>0.13019058080150381</v>
      </c>
      <c r="I7" s="359">
        <f>AVERAGE(C7:G7)</f>
        <v>0.15382120377714903</v>
      </c>
      <c r="J7" s="360">
        <f>AVERAGE(E7:G7)</f>
        <v>0.13695805604214206</v>
      </c>
      <c r="L7" s="361">
        <v>0.127</v>
      </c>
      <c r="M7" s="17">
        <v>0.128</v>
      </c>
      <c r="N7" s="17">
        <v>0.125</v>
      </c>
      <c r="O7" s="17">
        <v>0.123</v>
      </c>
      <c r="P7" s="358">
        <v>0.1215</v>
      </c>
    </row>
    <row r="8" spans="2:16" x14ac:dyDescent="0.2">
      <c r="B8" s="11" t="s">
        <v>45</v>
      </c>
      <c r="C8" s="17">
        <f>'Income Statement'!C14/'Income Statement'!C11</f>
        <v>0.28297011907436531</v>
      </c>
      <c r="D8" s="17">
        <f>'Income Statement'!D14/'Income Statement'!D11</f>
        <v>0.27070163753126136</v>
      </c>
      <c r="E8" s="17">
        <f>'Income Statement'!E14/'Income Statement'!E11</f>
        <v>0.23591486544973142</v>
      </c>
      <c r="F8" s="17">
        <f>'Income Statement'!F14/'Income Statement'!F11</f>
        <v>0.23196560196560195</v>
      </c>
      <c r="G8" s="358">
        <f>'Income Statement'!G14/'Income Statement'!G11</f>
        <v>0.24093806973241685</v>
      </c>
      <c r="I8" s="359">
        <f>AVERAGE(C8:G8)</f>
        <v>0.25249805875067538</v>
      </c>
      <c r="J8" s="360">
        <f t="shared" ref="J8:J12" si="0">AVERAGE(E8:G8)</f>
        <v>0.23627284571591675</v>
      </c>
      <c r="L8" s="361">
        <v>0.248</v>
      </c>
      <c r="M8" s="17">
        <v>0.2525</v>
      </c>
      <c r="N8" s="17">
        <v>0.25</v>
      </c>
      <c r="O8" s="17">
        <v>0.245</v>
      </c>
      <c r="P8" s="358">
        <v>0.24149999999999999</v>
      </c>
    </row>
    <row r="9" spans="2:16" x14ac:dyDescent="0.2">
      <c r="B9" s="11" t="s">
        <v>47</v>
      </c>
      <c r="C9" s="17">
        <f>'Income Statement'!C15/'Income Statement'!C11</f>
        <v>0.2526024114431214</v>
      </c>
      <c r="D9" s="17">
        <f>'Income Statement'!D15/'Income Statement'!D11</f>
        <v>0.27154365283834564</v>
      </c>
      <c r="E9" s="17">
        <f>'Income Statement'!E15/'Income Statement'!E11</f>
        <v>0.27127727284299497</v>
      </c>
      <c r="F9" s="17">
        <f>'Income Statement'!F15/'Income Statement'!F11</f>
        <v>0.25574938574938577</v>
      </c>
      <c r="G9" s="358">
        <f>'Income Statement'!G15/'Income Statement'!G11</f>
        <v>0.26577132568594369</v>
      </c>
      <c r="I9" s="359">
        <f t="shared" ref="I9:I12" si="1">AVERAGE(C9:G9)</f>
        <v>0.26338880971195827</v>
      </c>
      <c r="J9" s="360">
        <f t="shared" si="0"/>
        <v>0.26426599475944146</v>
      </c>
      <c r="L9" s="361">
        <v>0.26500000000000001</v>
      </c>
      <c r="M9" s="17">
        <v>0.26800000000000002</v>
      </c>
      <c r="N9" s="17">
        <v>0.25850000000000001</v>
      </c>
      <c r="O9" s="17">
        <v>0.26</v>
      </c>
      <c r="P9" s="358">
        <v>0.26150000000000001</v>
      </c>
    </row>
    <row r="10" spans="2:16" x14ac:dyDescent="0.2">
      <c r="B10" s="11" t="s">
        <v>49</v>
      </c>
      <c r="C10" s="17">
        <f>'Income Statement'!C18/'Income Statement'!C11</f>
        <v>0.20448588332209991</v>
      </c>
      <c r="D10" s="17">
        <f>'Income Statement'!D18/'Income Statement'!D11</f>
        <v>0.17155747697025298</v>
      </c>
      <c r="E10" s="17">
        <f>'Income Statement'!E18/'Income Statement'!E11</f>
        <v>0.16316606838259629</v>
      </c>
      <c r="F10" s="17">
        <f>'Income Statement'!F18/'Income Statement'!F11</f>
        <v>0.1587100737100737</v>
      </c>
      <c r="G10" s="358">
        <f>'Income Statement'!G18/'Income Statement'!G11</f>
        <v>0.15296289166449625</v>
      </c>
      <c r="I10" s="359">
        <f t="shared" ref="I10" si="2">AVERAGE(C10:G10)</f>
        <v>0.17017647880990383</v>
      </c>
      <c r="J10" s="360">
        <f t="shared" ref="J10" si="3">AVERAGE(E10:G10)</f>
        <v>0.15827967791905542</v>
      </c>
      <c r="L10" s="361">
        <v>0.16900000000000001</v>
      </c>
      <c r="M10" s="17">
        <v>0.161</v>
      </c>
      <c r="N10" s="17">
        <v>0.157</v>
      </c>
      <c r="O10" s="17">
        <v>0.156</v>
      </c>
      <c r="P10" s="358">
        <v>0.154</v>
      </c>
    </row>
    <row r="11" spans="2:16" x14ac:dyDescent="0.2">
      <c r="B11" s="11" t="s">
        <v>48</v>
      </c>
      <c r="C11" s="17">
        <f>'Income Statement'!C22/'Income Statement'!C11</f>
        <v>-2.4838363413964403E-3</v>
      </c>
      <c r="D11" s="17">
        <f>'Income Statement'!D22/'Income Statement'!D11</f>
        <v>-4.1472395722059546E-4</v>
      </c>
      <c r="E11" s="17">
        <f>'Income Statement'!E22/'Income Statement'!E11</f>
        <v>8.6560248478830925E-4</v>
      </c>
      <c r="F11" s="17">
        <f>'Income Statement'!F22/'Income Statement'!F11</f>
        <v>1.3882063882063882E-3</v>
      </c>
      <c r="G11" s="358">
        <f>'Income Statement'!G22/'Income Statement'!G11</f>
        <v>-2.5365478037346137E-3</v>
      </c>
      <c r="I11" s="359">
        <f t="shared" si="1"/>
        <v>-6.3625984587139042E-4</v>
      </c>
      <c r="J11" s="360">
        <f t="shared" si="0"/>
        <v>-9.4246310246638796E-5</v>
      </c>
      <c r="L11" s="361">
        <v>-5.0000000000000001E-4</v>
      </c>
      <c r="M11" s="17">
        <v>-5.0000000000000001E-4</v>
      </c>
      <c r="N11" s="17">
        <v>-5.0000000000000001E-4</v>
      </c>
      <c r="O11" s="17">
        <v>-5.0000000000000001E-4</v>
      </c>
      <c r="P11" s="358">
        <v>-5.0000000000000001E-4</v>
      </c>
    </row>
    <row r="12" spans="2:16" x14ac:dyDescent="0.2">
      <c r="B12" s="13" t="s">
        <v>52</v>
      </c>
      <c r="C12" s="362">
        <f>'Income Statement'!C24/'Income Statement'!C23</f>
        <v>-9.7582811101163833E-2</v>
      </c>
      <c r="D12" s="362">
        <f>'Income Statement'!D24/'Income Statement'!D23</f>
        <v>-0.17673235855054037</v>
      </c>
      <c r="E12" s="362">
        <f>'Income Statement'!E24/'Income Statement'!E23</f>
        <v>-0.24384034912264752</v>
      </c>
      <c r="F12" s="362">
        <f>'Income Statement'!F24/'Income Statement'!F23</f>
        <v>-0.22926862425231104</v>
      </c>
      <c r="G12" s="363">
        <f>'Income Statement'!G24/'Income Statement'!G23</f>
        <v>-0.2303060009803235</v>
      </c>
      <c r="H12" s="364"/>
      <c r="I12" s="365">
        <f t="shared" si="1"/>
        <v>-0.19554602880139726</v>
      </c>
      <c r="J12" s="366">
        <f t="shared" si="0"/>
        <v>-0.23447165811842732</v>
      </c>
      <c r="K12" s="328"/>
      <c r="L12" s="367">
        <v>-0.11</v>
      </c>
      <c r="M12" s="362">
        <v>-0.25</v>
      </c>
      <c r="N12" s="362">
        <v>-0.22500000000000001</v>
      </c>
      <c r="O12" s="362">
        <v>-0.223</v>
      </c>
      <c r="P12" s="363">
        <v>-0.23</v>
      </c>
    </row>
    <row r="13" spans="2:16" x14ac:dyDescent="0.2">
      <c r="B13" s="368" t="s">
        <v>292</v>
      </c>
      <c r="I13" s="17"/>
    </row>
    <row r="14" spans="2:16" x14ac:dyDescent="0.2">
      <c r="B14" s="369" t="s">
        <v>155</v>
      </c>
      <c r="C14" s="370">
        <f>'Balance Sheet'!C5/'Income Statement'!C11</f>
        <v>8.2765421004019069E-2</v>
      </c>
      <c r="D14" s="370">
        <f>'Balance Sheet'!D5/'Income Statement'!D11</f>
        <v>5.66412386422189E-2</v>
      </c>
      <c r="E14" s="370">
        <f>'Balance Sheet'!E5/'Income Statement'!E11</f>
        <v>6.5365717049823066E-2</v>
      </c>
      <c r="F14" s="370">
        <f>'Balance Sheet'!F5/'Income Statement'!F11</f>
        <v>6.6449631449631452E-2</v>
      </c>
      <c r="G14" s="371">
        <f>'Balance Sheet'!G5/'Income Statement'!G11</f>
        <v>6.3391047345117718E-2</v>
      </c>
      <c r="I14" s="372">
        <f t="shared" ref="I14:I19" si="4">AVERAGE(C14:G14)</f>
        <v>6.6922611098162041E-2</v>
      </c>
      <c r="J14" s="371">
        <f t="shared" ref="J14:J19" si="5">AVERAGE(E14,F14,G14)</f>
        <v>6.5068798614857412E-2</v>
      </c>
      <c r="L14" s="372">
        <v>0.06</v>
      </c>
      <c r="M14" s="370">
        <v>5.8000000000000003E-2</v>
      </c>
      <c r="N14" s="373">
        <v>0.06</v>
      </c>
      <c r="O14" s="370">
        <v>6.2E-2</v>
      </c>
      <c r="P14" s="371">
        <v>6.2E-2</v>
      </c>
    </row>
    <row r="15" spans="2:16" x14ac:dyDescent="0.2">
      <c r="B15" s="328" t="s">
        <v>157</v>
      </c>
      <c r="C15" s="17">
        <f>'Balance Sheet'!C7/'Income Statement'!C11</f>
        <v>5.2347787014154122E-2</v>
      </c>
      <c r="D15" s="17">
        <f>'Balance Sheet'!D7/'Income Statement'!D11</f>
        <v>5.5862060298349898E-2</v>
      </c>
      <c r="E15" s="17">
        <f>'Balance Sheet'!E7/'Income Statement'!E11</f>
        <v>5.972657145039334E-2</v>
      </c>
      <c r="F15" s="17">
        <f>'Balance Sheet'!F7/'Income Statement'!F11</f>
        <v>5.253071253071253E-2</v>
      </c>
      <c r="G15" s="360">
        <f>'Balance Sheet'!G7/'Income Statement'!G11</f>
        <v>5.5192562479475481E-2</v>
      </c>
      <c r="I15" s="359">
        <f t="shared" si="4"/>
        <v>5.5131938754617069E-2</v>
      </c>
      <c r="J15" s="360">
        <f t="shared" si="5"/>
        <v>5.5816615486860455E-2</v>
      </c>
      <c r="L15" s="359">
        <v>5.6000000000000001E-2</v>
      </c>
      <c r="M15" s="17">
        <v>5.7000000000000002E-2</v>
      </c>
      <c r="N15" s="17">
        <v>5.6000000000000001E-2</v>
      </c>
      <c r="O15" s="17">
        <v>5.5E-2</v>
      </c>
      <c r="P15" s="360">
        <v>5.5E-2</v>
      </c>
    </row>
    <row r="16" spans="2:16" x14ac:dyDescent="0.2">
      <c r="B16" s="11" t="s">
        <v>158</v>
      </c>
      <c r="C16" s="17">
        <f>'Balance Sheet'!C8/'Income Statement'!C11</f>
        <v>5.9262587683167327E-2</v>
      </c>
      <c r="D16" s="17">
        <f>'Balance Sheet'!D8/'Income Statement'!D11</f>
        <v>6.4382752510336677E-2</v>
      </c>
      <c r="E16" s="17">
        <f>'Balance Sheet'!E8/'Income Statement'!E11</f>
        <v>5.6722421650245679E-2</v>
      </c>
      <c r="F16" s="17">
        <f>'Balance Sheet'!F8/'Income Statement'!F11</f>
        <v>5.3796068796068797E-2</v>
      </c>
      <c r="G16" s="358">
        <f>'Balance Sheet'!G8/'Income Statement'!G11</f>
        <v>5.6585398996704755E-2</v>
      </c>
      <c r="I16" s="359">
        <f t="shared" si="4"/>
        <v>5.8149845927304655E-2</v>
      </c>
      <c r="J16" s="360">
        <f t="shared" si="5"/>
        <v>5.5701296481006413E-2</v>
      </c>
      <c r="L16" s="359">
        <v>5.8000000000000003E-2</v>
      </c>
      <c r="M16" s="17">
        <v>5.7000000000000002E-2</v>
      </c>
      <c r="N16" s="17">
        <v>5.3999999999999999E-2</v>
      </c>
      <c r="O16" s="17">
        <v>5.2999999999999999E-2</v>
      </c>
      <c r="P16" s="360">
        <v>5.3999999999999999E-2</v>
      </c>
    </row>
    <row r="17" spans="2:16" x14ac:dyDescent="0.2">
      <c r="B17" s="328" t="s">
        <v>159</v>
      </c>
      <c r="C17" s="17">
        <f>'Balance Sheet'!C9/'Income Statement'!C19</f>
        <v>3.5055854477917682E-2</v>
      </c>
      <c r="D17" s="17">
        <f>'Balance Sheet'!D9/('Income Statement'!D13+'Income Statement'!D14)</f>
        <v>5.2035574214218637E-2</v>
      </c>
      <c r="E17" s="17">
        <f>'Balance Sheet'!E9/('Income Statement'!E13+'Income Statement'!E14)</f>
        <v>5.5585000662514907E-2</v>
      </c>
      <c r="F17" s="17">
        <f>'Balance Sheet'!F9/('Income Statement'!F13+'Income Statement'!F14)</f>
        <v>5.4193504873031394E-2</v>
      </c>
      <c r="G17" s="360">
        <f>'Balance Sheet'!G9/('Income Statement'!G13+'Income Statement'!G14)</f>
        <v>7.33813388661744E-2</v>
      </c>
      <c r="I17" s="359">
        <f>AVERAGE(C17:G17)</f>
        <v>5.4050254618771401E-2</v>
      </c>
      <c r="J17" s="360">
        <f t="shared" si="5"/>
        <v>6.1053281467240234E-2</v>
      </c>
      <c r="L17" s="359">
        <v>6.7000000000000004E-2</v>
      </c>
      <c r="M17" s="17">
        <v>6.4000000000000001E-2</v>
      </c>
      <c r="N17" s="374">
        <v>6.0999999999999999E-2</v>
      </c>
      <c r="O17" s="43">
        <v>0.06</v>
      </c>
      <c r="P17" s="375">
        <v>5.8999999999999997E-2</v>
      </c>
    </row>
    <row r="18" spans="2:16" x14ac:dyDescent="0.2">
      <c r="B18" s="328" t="s">
        <v>160</v>
      </c>
      <c r="C18" s="17">
        <f>'Balance Sheet'!C10/'Income Statement'!C11</f>
        <v>9.3112658828228365E-3</v>
      </c>
      <c r="D18" s="17">
        <f>'Balance Sheet'!D10/'Income Statement'!D11</f>
        <v>8.4578552487715366E-3</v>
      </c>
      <c r="E18" s="17">
        <f>'Balance Sheet'!E10/'Income Statement'!E11</f>
        <v>8.9360727106087227E-3</v>
      </c>
      <c r="F18" s="17">
        <f>'Balance Sheet'!F10/'Income Statement'!F11</f>
        <v>1.0810810810810811E-2</v>
      </c>
      <c r="G18" s="360">
        <f>'Balance Sheet'!G10/'Income Statement'!G11</f>
        <v>1.3758507060435516E-2</v>
      </c>
      <c r="H18" s="17"/>
      <c r="I18" s="359">
        <f t="shared" si="4"/>
        <v>1.0254902342689883E-2</v>
      </c>
      <c r="J18" s="360">
        <f t="shared" si="5"/>
        <v>1.1168463527285016E-2</v>
      </c>
      <c r="L18" s="359">
        <v>1.2500000000000001E-2</v>
      </c>
      <c r="M18" s="17">
        <v>1.0999999999999999E-2</v>
      </c>
      <c r="N18" s="17">
        <v>0.01</v>
      </c>
      <c r="O18" s="17">
        <v>9.4999999999999998E-3</v>
      </c>
      <c r="P18" s="360">
        <v>9.4999999999999998E-3</v>
      </c>
    </row>
    <row r="19" spans="2:16" x14ac:dyDescent="0.2">
      <c r="B19" s="376" t="s">
        <v>161</v>
      </c>
      <c r="C19" s="377">
        <f>'Balance Sheet'!C21/'Income Statement'!C11</f>
        <v>4.0340497765795451E-2</v>
      </c>
      <c r="D19" s="377">
        <f>'Balance Sheet'!D21/'Income Statement'!D11</f>
        <v>5.1865629437860529E-2</v>
      </c>
      <c r="E19" s="377">
        <f>'Balance Sheet'!E21/'Income Statement'!E11</f>
        <v>5.3832836884849411E-2</v>
      </c>
      <c r="F19" s="377">
        <f>'Balance Sheet'!F21/'Income Statement'!F11</f>
        <v>5.3132678132678135E-2</v>
      </c>
      <c r="G19" s="378">
        <f>'Balance Sheet'!G21/'Income Statement'!G11</f>
        <v>0.11046439207781766</v>
      </c>
      <c r="I19" s="379">
        <f t="shared" si="4"/>
        <v>6.1927206859800243E-2</v>
      </c>
      <c r="J19" s="378">
        <f t="shared" si="5"/>
        <v>7.2476635698448408E-2</v>
      </c>
      <c r="L19" s="379">
        <v>0.08</v>
      </c>
      <c r="M19" s="377">
        <v>7.0000000000000007E-2</v>
      </c>
      <c r="N19" s="377">
        <v>6.3E-2</v>
      </c>
      <c r="O19" s="377">
        <v>0.05</v>
      </c>
      <c r="P19" s="378">
        <v>4.8000000000000001E-2</v>
      </c>
    </row>
    <row r="20" spans="2:16" x14ac:dyDescent="0.2">
      <c r="I20" s="17"/>
    </row>
    <row r="21" spans="2:16" x14ac:dyDescent="0.2">
      <c r="B21" s="380" t="s">
        <v>163</v>
      </c>
      <c r="C21" s="370">
        <f>'Balance Sheet'!C14/'Income Statement'!C11</f>
        <v>0.4968047130482538</v>
      </c>
      <c r="D21" s="370">
        <f>'Balance Sheet'!D14/'Income Statement'!D11</f>
        <v>0.52891128677533272</v>
      </c>
      <c r="E21" s="370">
        <f>'Balance Sheet'!E14/'Income Statement'!E11</f>
        <v>0.5146770538964841</v>
      </c>
      <c r="F21" s="370">
        <f>'Balance Sheet'!F14/'Income Statement'!F11</f>
        <v>0.47337837837837837</v>
      </c>
      <c r="G21" s="371">
        <f>'Balance Sheet'!G14/'Income Statement'!G11</f>
        <v>0.43407806678820959</v>
      </c>
      <c r="I21" s="372">
        <f t="shared" ref="I21:I28" si="6">AVERAGE(G21,F21,E21,D21,C21)</f>
        <v>0.48956989977733179</v>
      </c>
      <c r="J21" s="371">
        <f t="shared" ref="J21:J28" si="7">AVERAGE(G21,F21,E21)</f>
        <v>0.47404449968769069</v>
      </c>
      <c r="L21" s="372">
        <v>0.41</v>
      </c>
      <c r="M21" s="370">
        <v>0.40500000000000003</v>
      </c>
      <c r="N21" s="370">
        <v>0.40500000000000003</v>
      </c>
      <c r="O21" s="370">
        <v>0.4</v>
      </c>
      <c r="P21" s="371">
        <v>0.4</v>
      </c>
    </row>
    <row r="22" spans="2:16" x14ac:dyDescent="0.2">
      <c r="B22" s="11" t="s">
        <v>164</v>
      </c>
      <c r="C22" s="17">
        <f>'Balance Sheet'!C15/'Income Statement'!C11</f>
        <v>0.33649117551611374</v>
      </c>
      <c r="D22" s="17">
        <f>'Balance Sheet'!D15/'Income Statement'!D11</f>
        <v>0.36087267974513326</v>
      </c>
      <c r="E22" s="17">
        <f>'Balance Sheet'!E15/'Income Statement'!E11</f>
        <v>0.34541357977545251</v>
      </c>
      <c r="F22" s="17">
        <f>'Balance Sheet'!F15/'Income Statement'!F11</f>
        <v>0.312014742014742</v>
      </c>
      <c r="G22" s="360">
        <f>'Balance Sheet'!G15/'Income Statement'!G11</f>
        <v>0.29093297398906115</v>
      </c>
      <c r="I22" s="359">
        <f t="shared" si="6"/>
        <v>0.32914503020810054</v>
      </c>
      <c r="J22" s="360">
        <f t="shared" si="7"/>
        <v>0.31612043192641853</v>
      </c>
      <c r="L22" s="359">
        <v>0.28499999999999998</v>
      </c>
      <c r="M22" s="17">
        <v>0.27800000000000002</v>
      </c>
      <c r="N22" s="17">
        <v>0.27400000000000002</v>
      </c>
      <c r="O22" s="17">
        <v>0.27</v>
      </c>
      <c r="P22" s="360">
        <v>0.27</v>
      </c>
    </row>
    <row r="23" spans="2:16" x14ac:dyDescent="0.2">
      <c r="B23" s="11" t="s">
        <v>165</v>
      </c>
      <c r="C23" s="17">
        <f>'Balance Sheet'!C16/'Income Statement'!C11</f>
        <v>4.1463840834768714E-2</v>
      </c>
      <c r="D23" s="17">
        <f>'Balance Sheet'!D16/'Income Statement'!D11</f>
        <v>4.0931997838408465E-2</v>
      </c>
      <c r="E23" s="17">
        <f>'Balance Sheet'!E16/'Income Statement'!E11</f>
        <v>4.1625295959673105E-2</v>
      </c>
      <c r="F23" s="17">
        <f>'Balance Sheet'!F16/'Income Statement'!F11</f>
        <v>3.7972972972972974E-2</v>
      </c>
      <c r="G23" s="360">
        <f>'Balance Sheet'!G16/'Income Statement'!G11</f>
        <v>3.1253892581730058E-2</v>
      </c>
      <c r="I23" s="359">
        <f t="shared" si="6"/>
        <v>3.8649600037510667E-2</v>
      </c>
      <c r="J23" s="360">
        <f t="shared" si="7"/>
        <v>3.6950720504792041E-2</v>
      </c>
      <c r="L23" s="359">
        <v>3.0499999999999999E-2</v>
      </c>
      <c r="M23" s="17">
        <v>0.03</v>
      </c>
      <c r="N23" s="17">
        <v>2.9000000000000001E-2</v>
      </c>
      <c r="O23" s="17">
        <v>2.8000000000000001E-2</v>
      </c>
      <c r="P23" s="360">
        <v>2.75E-2</v>
      </c>
    </row>
    <row r="24" spans="2:16" x14ac:dyDescent="0.2">
      <c r="B24" s="11" t="s">
        <v>166</v>
      </c>
      <c r="C24" s="68">
        <f>'Balance Sheet'!C17</f>
        <v>12188</v>
      </c>
      <c r="D24" s="68">
        <f>'Balance Sheet'!D17</f>
        <v>12234</v>
      </c>
      <c r="E24" s="68">
        <f>'Balance Sheet'!E17</f>
        <v>12234</v>
      </c>
      <c r="F24" s="68">
        <f>'Balance Sheet'!F17</f>
        <v>13005</v>
      </c>
      <c r="G24" s="75">
        <f>'Balance Sheet'!G17</f>
        <v>13678</v>
      </c>
      <c r="I24" s="381">
        <f t="shared" si="6"/>
        <v>12667.8</v>
      </c>
      <c r="J24" s="382">
        <f t="shared" si="7"/>
        <v>12972.333333333334</v>
      </c>
      <c r="L24" s="77">
        <f>$G$24</f>
        <v>13678</v>
      </c>
      <c r="M24" s="68">
        <f>$G$24</f>
        <v>13678</v>
      </c>
      <c r="N24" s="68">
        <f>$G$24</f>
        <v>13678</v>
      </c>
      <c r="O24" s="68">
        <f>$G$24</f>
        <v>13678</v>
      </c>
      <c r="P24" s="75">
        <f>$G$24</f>
        <v>13678</v>
      </c>
    </row>
    <row r="25" spans="2:16" x14ac:dyDescent="0.2">
      <c r="B25" s="11" t="s">
        <v>167</v>
      </c>
      <c r="C25" s="68">
        <f>'Balance Sheet'!C18</f>
        <v>92606</v>
      </c>
      <c r="D25" s="68">
        <f>'Balance Sheet'!D18</f>
        <v>95798</v>
      </c>
      <c r="E25" s="68">
        <f>'Balance Sheet'!E18</f>
        <v>96707</v>
      </c>
      <c r="F25" s="68">
        <f>'Balance Sheet'!F18</f>
        <v>100558</v>
      </c>
      <c r="G25" s="75">
        <f>'Balance Sheet'!G18</f>
        <v>98032</v>
      </c>
      <c r="I25" s="381">
        <f t="shared" si="6"/>
        <v>96740.2</v>
      </c>
      <c r="J25" s="382">
        <f t="shared" si="7"/>
        <v>98432.333333333328</v>
      </c>
      <c r="L25" s="77">
        <f>$G$25</f>
        <v>98032</v>
      </c>
      <c r="M25" s="68">
        <f>$G$25</f>
        <v>98032</v>
      </c>
      <c r="N25" s="68">
        <f>$G$25</f>
        <v>98032</v>
      </c>
      <c r="O25" s="68">
        <f>$G$25</f>
        <v>98032</v>
      </c>
      <c r="P25" s="75">
        <f>$G$25</f>
        <v>98032</v>
      </c>
    </row>
    <row r="26" spans="2:16" x14ac:dyDescent="0.2">
      <c r="B26" s="11" t="s">
        <v>168</v>
      </c>
      <c r="C26" s="17">
        <f>'Balance Sheet'!C19/'Income Statement'!C11</f>
        <v>5.9075363838338453E-2</v>
      </c>
      <c r="D26" s="17">
        <f>'Balance Sheet'!D19/'Income Statement'!D11</f>
        <v>4.40864133918136E-2</v>
      </c>
      <c r="E26" s="17">
        <f>'Balance Sheet'!E19/'Income Statement'!E11</f>
        <v>3.3325695664349904E-2</v>
      </c>
      <c r="F26" s="17">
        <f>'Balance Sheet'!F19/'Income Statement'!F11</f>
        <v>3.0859950859950861E-2</v>
      </c>
      <c r="G26" s="360">
        <f>'Balance Sheet'!G19/'Income Statement'!G11</f>
        <v>4.3517648257821964E-2</v>
      </c>
      <c r="I26" s="359">
        <f t="shared" si="6"/>
        <v>4.2173014402454953E-2</v>
      </c>
      <c r="J26" s="360">
        <f t="shared" si="7"/>
        <v>3.590109826070758E-2</v>
      </c>
      <c r="L26" s="359">
        <v>0.04</v>
      </c>
      <c r="M26" s="17">
        <v>3.5999999999999997E-2</v>
      </c>
      <c r="N26" s="17">
        <v>3.2000000000000001E-2</v>
      </c>
      <c r="O26" s="17">
        <v>3.0499999999999999E-2</v>
      </c>
      <c r="P26" s="360">
        <v>3.0499999999999999E-2</v>
      </c>
    </row>
    <row r="27" spans="2:16" x14ac:dyDescent="0.2">
      <c r="B27" s="11" t="s">
        <v>169</v>
      </c>
      <c r="C27" s="17">
        <f>'Balance Sheet'!C20/'Income Statement'!C11</f>
        <v>3.5310417134726275E-2</v>
      </c>
      <c r="D27" s="17">
        <f>'Balance Sheet'!D20/'Income Statement'!D11</f>
        <v>3.1996581669201093E-2</v>
      </c>
      <c r="E27" s="17">
        <f>'Balance Sheet'!E20/'Income Statement'!E11</f>
        <v>2.5993533440260699E-2</v>
      </c>
      <c r="F27" s="17">
        <f>'Balance Sheet'!F20/'Income Statement'!F11</f>
        <v>2.7137592137592138E-2</v>
      </c>
      <c r="G27" s="360">
        <f>'Balance Sheet'!G20/'Income Statement'!G11</f>
        <v>3.0381954274196286E-2</v>
      </c>
      <c r="I27" s="359">
        <f t="shared" si="6"/>
        <v>3.0164015731195298E-2</v>
      </c>
      <c r="J27" s="360">
        <f t="shared" si="7"/>
        <v>2.7837693284016377E-2</v>
      </c>
      <c r="L27" s="359">
        <v>3.1E-2</v>
      </c>
      <c r="M27" s="17">
        <v>3.15E-2</v>
      </c>
      <c r="N27" s="17">
        <v>3.1E-2</v>
      </c>
      <c r="O27" s="17">
        <v>3.0499999999999999E-2</v>
      </c>
      <c r="P27" s="360">
        <v>3.0499999999999999E-2</v>
      </c>
    </row>
    <row r="28" spans="2:16" x14ac:dyDescent="0.2">
      <c r="B28" s="383" t="s">
        <v>170</v>
      </c>
      <c r="C28" s="377">
        <f>'Balance Sheet'!C21/'Income Statement'!C11</f>
        <v>4.0340497765795451E-2</v>
      </c>
      <c r="D28" s="377">
        <f>'Balance Sheet'!D21/'Income Statement'!D11</f>
        <v>5.1865629437860529E-2</v>
      </c>
      <c r="E28" s="377">
        <f>'Balance Sheet'!E21/'Income Statement'!E11</f>
        <v>5.3832836884849411E-2</v>
      </c>
      <c r="F28" s="377">
        <f>'Balance Sheet'!F21/'Income Statement'!F11</f>
        <v>5.3132678132678135E-2</v>
      </c>
      <c r="G28" s="378">
        <f>'Balance Sheet'!G21/'Income Statement'!G11</f>
        <v>0.11046439207781766</v>
      </c>
      <c r="I28" s="379">
        <f t="shared" si="6"/>
        <v>6.1927206859800243E-2</v>
      </c>
      <c r="J28" s="378">
        <f t="shared" si="7"/>
        <v>7.2476635698448408E-2</v>
      </c>
      <c r="L28" s="379">
        <v>0.08</v>
      </c>
      <c r="M28" s="377">
        <v>0.06</v>
      </c>
      <c r="N28" s="377">
        <v>5.5E-2</v>
      </c>
      <c r="O28" s="377">
        <v>0.05</v>
      </c>
      <c r="P28" s="378">
        <v>4.8000000000000001E-2</v>
      </c>
    </row>
    <row r="29" spans="2:16" x14ac:dyDescent="0.2">
      <c r="C29" s="17"/>
      <c r="D29" s="17"/>
      <c r="E29" s="17"/>
      <c r="F29" s="17"/>
      <c r="G29" s="17"/>
    </row>
    <row r="30" spans="2:16" x14ac:dyDescent="0.2">
      <c r="B30" s="369" t="s">
        <v>174</v>
      </c>
      <c r="C30" s="370">
        <f>'Balance Sheet'!C26/('Income Statement'!C13+'Income Statement'!C14)</f>
        <v>0.31156945772435457</v>
      </c>
      <c r="D30" s="370">
        <f>'Balance Sheet'!D26/('Income Statement'!D13+'Income Statement'!D14)</f>
        <v>0.3390322046069712</v>
      </c>
      <c r="E30" s="370">
        <f>'Balance Sheet'!E26/('Income Statement'!E13+'Income Statement'!E14)</f>
        <v>0.34361335630051676</v>
      </c>
      <c r="F30" s="370">
        <f>'Balance Sheet'!F26/('Income Statement'!F13+'Income Statement'!F14)</f>
        <v>0.28540113985094256</v>
      </c>
      <c r="G30" s="371">
        <f>'Balance Sheet'!G26/('Income Statement'!G13+'Income Statement'!G14)</f>
        <v>0.31366326966497832</v>
      </c>
      <c r="I30" s="372">
        <f>AVERAGE(C30:G30)</f>
        <v>0.31865588562955272</v>
      </c>
      <c r="J30" s="371">
        <f>AVERAGE(E30:G30)</f>
        <v>0.31422592193881255</v>
      </c>
      <c r="L30" s="372">
        <v>0.30299999999999999</v>
      </c>
      <c r="M30" s="370">
        <v>0.27200000000000002</v>
      </c>
      <c r="N30" s="370">
        <v>0.29599999999999999</v>
      </c>
      <c r="O30" s="370">
        <v>0.308</v>
      </c>
      <c r="P30" s="46">
        <v>0.312</v>
      </c>
    </row>
    <row r="31" spans="2:16" x14ac:dyDescent="0.2">
      <c r="B31" s="328" t="s">
        <v>177</v>
      </c>
      <c r="C31" s="17">
        <f>'Balance Sheet'!C29/'Income Statement'!C11</f>
        <v>1.068424074490127E-2</v>
      </c>
      <c r="D31" s="17">
        <f>'Balance Sheet'!D29/'Income Statement'!D11</f>
        <v>9.8025662615777113E-3</v>
      </c>
      <c r="E31" s="17">
        <f>'Balance Sheet'!E29/'Income Statement'!E11</f>
        <v>1.0501794852211106E-2</v>
      </c>
      <c r="F31" s="17">
        <f>'Balance Sheet'!F29/'Income Statement'!F11</f>
        <v>1.5012285012285012E-2</v>
      </c>
      <c r="G31" s="360">
        <f>'Balance Sheet'!G29/'Income Statement'!G11</f>
        <v>1.7359499031808761E-2</v>
      </c>
      <c r="I31" s="359">
        <f>AVERAGE(C31:G31)</f>
        <v>1.2672077180556771E-2</v>
      </c>
      <c r="J31" s="360">
        <f>AVERAGE(E31:G31)</f>
        <v>1.4291192965434957E-2</v>
      </c>
      <c r="L31" s="359">
        <v>1.9300000000000001E-2</v>
      </c>
      <c r="M31" s="17">
        <v>2.46E-2</v>
      </c>
      <c r="N31" s="17">
        <v>2.6100000000000002E-2</v>
      </c>
      <c r="O31" s="17">
        <v>2.8299999999999999E-2</v>
      </c>
      <c r="P31" s="360">
        <v>3.0099999999999998E-2</v>
      </c>
    </row>
    <row r="32" spans="2:16" x14ac:dyDescent="0.2">
      <c r="B32" s="328" t="s">
        <v>178</v>
      </c>
      <c r="C32" s="384">
        <f>'Balance Sheet'!C30/'Income Statement'!C11</f>
        <v>4.2749444569260338E-2</v>
      </c>
      <c r="D32" s="384">
        <f>'Balance Sheet'!D30/'Income Statement'!D11</f>
        <v>4.4136682962385793E-2</v>
      </c>
      <c r="E32" s="384">
        <f>'Balance Sheet'!E30/'Income Statement'!E11</f>
        <v>4.5253188726800578E-2</v>
      </c>
      <c r="F32" s="384">
        <f>'Balance Sheet'!F30/'Income Statement'!F11</f>
        <v>4.030712530712531E-2</v>
      </c>
      <c r="G32" s="385">
        <f>'Balance Sheet'!G30/'Income Statement'!G11</f>
        <v>4.3189255908231326E-2</v>
      </c>
      <c r="H32" s="2"/>
      <c r="I32" s="359">
        <f>AVERAGE(C32:G32)</f>
        <v>4.3127139494760672E-2</v>
      </c>
      <c r="J32" s="360">
        <f>AVERAGE(E32:G32)</f>
        <v>4.2916523314052407E-2</v>
      </c>
      <c r="L32" s="359">
        <v>4.4499999999999998E-2</v>
      </c>
      <c r="M32" s="17">
        <v>4.2500000000000003E-2</v>
      </c>
      <c r="N32" s="17">
        <v>4.19E-2</v>
      </c>
      <c r="O32" s="17">
        <v>4.2799999999999998E-2</v>
      </c>
      <c r="P32" s="360">
        <v>4.3200000000000002E-2</v>
      </c>
    </row>
    <row r="33" spans="2:16" x14ac:dyDescent="0.2">
      <c r="B33" s="328" t="s">
        <v>179</v>
      </c>
      <c r="C33" s="52">
        <f>'Balance Sheet'!C31/'Income Statement'!C11</f>
        <v>1.3979380413889513E-2</v>
      </c>
      <c r="D33" s="52">
        <f>'Balance Sheet'!D31/'Income Statement'!D11</f>
        <v>1.459074285857913E-2</v>
      </c>
      <c r="E33" s="52">
        <f>'Balance Sheet'!E31/'Income Statement'!E11</f>
        <v>1.6039104865195143E-2</v>
      </c>
      <c r="F33" s="52">
        <f>'Balance Sheet'!F31/'Income Statement'!F11</f>
        <v>1.4434889434889435E-2</v>
      </c>
      <c r="G33" s="53">
        <f>'Balance Sheet'!G31/'Income Statement'!G11</f>
        <v>1.3169665605997125E-2</v>
      </c>
      <c r="H33" s="2"/>
      <c r="I33" s="359">
        <f>AVERAGE(C33:G33)</f>
        <v>1.4442756635710069E-2</v>
      </c>
      <c r="J33" s="360">
        <f>AVERAGE(E33:G33)</f>
        <v>1.4547886635360567E-2</v>
      </c>
      <c r="L33" s="359">
        <v>1.41E-2</v>
      </c>
      <c r="M33" s="17">
        <v>1.52E-2</v>
      </c>
      <c r="N33" s="17">
        <v>1.5800000000000002E-2</v>
      </c>
      <c r="O33" s="17">
        <v>1.47E-2</v>
      </c>
      <c r="P33" s="360">
        <v>1.3899999999999999E-2</v>
      </c>
    </row>
    <row r="34" spans="2:16" x14ac:dyDescent="0.2">
      <c r="B34" s="376" t="s">
        <v>180</v>
      </c>
      <c r="C34" s="54">
        <f>'Balance Sheet'!C32/'Income Statement'!C11</f>
        <v>1.3355300931126588E-2</v>
      </c>
      <c r="D34" s="54">
        <f>'Balance Sheet'!D32/'Income Statement'!D11</f>
        <v>2.3249676389639443E-2</v>
      </c>
      <c r="E34" s="54">
        <f>'Balance Sheet'!E32/'Income Statement'!E11</f>
        <v>1.649736500420072E-2</v>
      </c>
      <c r="F34" s="54">
        <f>'Balance Sheet'!F32/'Income Statement'!F11</f>
        <v>2.4140049140049139E-2</v>
      </c>
      <c r="G34" s="76">
        <f>'Balance Sheet'!G32/'Income Statement'!G11</f>
        <v>2.9158975868824242E-2</v>
      </c>
      <c r="H34" s="2"/>
      <c r="I34" s="379">
        <f>AVERAGE(C34:G34)</f>
        <v>2.1280273466768022E-2</v>
      </c>
      <c r="J34" s="378">
        <f>AVERAGE(E34:G34)</f>
        <v>2.3265463337691365E-2</v>
      </c>
      <c r="L34" s="78">
        <v>3.0499999999999999E-2</v>
      </c>
      <c r="M34" s="79">
        <v>3.2099999999999997E-2</v>
      </c>
      <c r="N34" s="79">
        <v>3.15E-2</v>
      </c>
      <c r="O34" s="79">
        <v>3.2899999999999999E-2</v>
      </c>
      <c r="P34" s="80">
        <v>3.3300000000000003E-2</v>
      </c>
    </row>
    <row r="35" spans="2:16" x14ac:dyDescent="0.2">
      <c r="C35" s="52"/>
      <c r="D35" s="52"/>
      <c r="E35" s="52"/>
      <c r="F35" s="52"/>
      <c r="G35" s="52"/>
      <c r="H35" s="2"/>
      <c r="I35" s="17"/>
      <c r="J35" s="17"/>
      <c r="L35" s="17"/>
      <c r="M35" s="17"/>
      <c r="N35" s="17"/>
      <c r="O35" s="17"/>
      <c r="P35" s="17"/>
    </row>
    <row r="36" spans="2:16" x14ac:dyDescent="0.2">
      <c r="B36" s="369" t="s">
        <v>226</v>
      </c>
      <c r="C36" s="55">
        <f>'Balance Sheet'!C102/'Income Statement'!C11</f>
        <v>3.5023340572655333E-2</v>
      </c>
      <c r="D36" s="55">
        <f>'Balance Sheet'!D102/'Income Statement'!D11</f>
        <v>4.9440122657752196E-2</v>
      </c>
      <c r="E36" s="55">
        <f>'Balance Sheet'!E102/'Income Statement'!E11</f>
        <v>4.8079126250668298E-2</v>
      </c>
      <c r="F36" s="55">
        <f>'Balance Sheet'!F102/'Income Statement'!F11</f>
        <v>4.5012285012285012E-2</v>
      </c>
      <c r="G36" s="56">
        <f>'Balance Sheet'!G102/'Income Statement'!G11</f>
        <v>3.999592340531543E-2</v>
      </c>
      <c r="H36" s="2"/>
      <c r="I36" s="372">
        <f>AVERAGE(G36,F36,E36,D36,C36)</f>
        <v>4.3510159579735252E-2</v>
      </c>
      <c r="J36" s="371">
        <f>AVERAGE(G36,F36,E36)</f>
        <v>4.4362444889422918E-2</v>
      </c>
      <c r="L36" s="47">
        <v>4.3499999999999997E-2</v>
      </c>
      <c r="M36" s="48">
        <v>4.6699999999999998E-2</v>
      </c>
      <c r="N36" s="48">
        <v>4.7300000000000002E-2</v>
      </c>
      <c r="O36" s="48">
        <v>4.4900000000000002E-2</v>
      </c>
      <c r="P36" s="46">
        <v>4.3499999999999997E-2</v>
      </c>
    </row>
    <row r="37" spans="2:16" x14ac:dyDescent="0.2">
      <c r="B37" s="328" t="s">
        <v>227</v>
      </c>
      <c r="C37" s="52">
        <f>'Balance Sheet'!C103/'Income Statement'!C11</f>
        <v>0.12751191991812078</v>
      </c>
      <c r="D37" s="52">
        <f>'Balance Sheet'!D103/'Income Statement'!D11</f>
        <v>0.13678350152693822</v>
      </c>
      <c r="E37" s="52">
        <f>'Balance Sheet'!E103/'Income Statement'!E11</f>
        <v>0.17131291529825096</v>
      </c>
      <c r="F37" s="52">
        <f>'Balance Sheet'!F103/'Income Statement'!F11</f>
        <v>0.20515970515970516</v>
      </c>
      <c r="G37" s="53">
        <f>'Balance Sheet'!G103/'Income Statement'!G11</f>
        <v>0.22175542696667383</v>
      </c>
      <c r="H37" s="2"/>
      <c r="I37" s="359">
        <f>AVERAGE(G37,F37,E37,D37,C37)</f>
        <v>0.17250469377393779</v>
      </c>
      <c r="J37" s="360">
        <f>AVERAGE(G37,F37,E37)</f>
        <v>0.19940934914154332</v>
      </c>
      <c r="L37" s="49">
        <v>0.23139999999999999</v>
      </c>
      <c r="M37" s="17">
        <v>0.24540000000000001</v>
      </c>
      <c r="N37" s="17">
        <v>0.26179999999999998</v>
      </c>
      <c r="O37" s="17">
        <v>0.27610000000000001</v>
      </c>
      <c r="P37" s="50">
        <v>0.28120000000000001</v>
      </c>
    </row>
    <row r="38" spans="2:16" x14ac:dyDescent="0.2">
      <c r="B38" s="328" t="s">
        <v>228</v>
      </c>
      <c r="C38" s="52">
        <f>'Balance Sheet'!C104/'Income Statement'!C8</f>
        <v>0.4423238362829584</v>
      </c>
      <c r="D38" s="52">
        <f>'Balance Sheet'!D104/'Income Statement'!D8</f>
        <v>0.48684832770738551</v>
      </c>
      <c r="E38" s="52">
        <f>'Balance Sheet'!E104/'Income Statement'!E8</f>
        <v>0.4465457535459591</v>
      </c>
      <c r="F38" s="52">
        <f>'Balance Sheet'!F104/'Income Statement'!F8</f>
        <v>0.39904499984889236</v>
      </c>
      <c r="G38" s="53">
        <f>'Balance Sheet'!G104/'Income Statement'!G8</f>
        <v>0.36982862592208227</v>
      </c>
      <c r="H38" s="2"/>
      <c r="I38" s="359">
        <f>AVERAGE(G38,F38,E38,D38,C38)</f>
        <v>0.42891830866145553</v>
      </c>
      <c r="J38" s="360">
        <f>AVERAGE(G38,F38,E38)</f>
        <v>0.40513979310564457</v>
      </c>
      <c r="L38" s="49">
        <v>0.3453</v>
      </c>
      <c r="M38" s="17">
        <v>0.32169999999999999</v>
      </c>
      <c r="N38" s="17">
        <v>0.35809999999999997</v>
      </c>
      <c r="O38" s="17">
        <v>0.37180000000000002</v>
      </c>
      <c r="P38" s="50">
        <v>0.40100000000000002</v>
      </c>
    </row>
    <row r="39" spans="2:16" x14ac:dyDescent="0.2">
      <c r="B39" s="328" t="s">
        <v>229</v>
      </c>
      <c r="C39" s="52">
        <f>'Balance Sheet'!C105/'Income Statement'!C11</f>
        <v>1.8160712948401107E-2</v>
      </c>
      <c r="D39" s="52">
        <f>'Balance Sheet'!D105/'Income Statement'!D11</f>
        <v>1.7217327920976234E-2</v>
      </c>
      <c r="E39" s="52">
        <f>'Balance Sheet'!E105/'Income Statement'!E11</f>
        <v>1.5733598105858091E-2</v>
      </c>
      <c r="F39" s="52">
        <f>'Balance Sheet'!F105/'Income Statement'!F11</f>
        <v>1.4140049140049141E-2</v>
      </c>
      <c r="G39" s="53">
        <f>'Balance Sheet'!G105/'Income Statement'!G11</f>
        <v>1.2535528655063471E-2</v>
      </c>
      <c r="H39" s="2"/>
      <c r="I39" s="359">
        <f>AVERAGE(G39,F39,E39,D39,C39)</f>
        <v>1.5557443354069608E-2</v>
      </c>
      <c r="J39" s="360">
        <f>AVERAGE(G39,F39,E39)</f>
        <v>1.4136391966990236E-2</v>
      </c>
      <c r="L39" s="49">
        <v>1.17E-2</v>
      </c>
      <c r="M39" s="44">
        <v>1.0800000000000001E-2</v>
      </c>
      <c r="N39" s="44">
        <v>1.0200000000000001E-2</v>
      </c>
      <c r="O39" s="44">
        <v>9.5999999999999992E-3</v>
      </c>
      <c r="P39" s="50">
        <v>8.8000000000000005E-3</v>
      </c>
    </row>
    <row r="40" spans="2:16" x14ac:dyDescent="0.2">
      <c r="B40" s="376" t="s">
        <v>230</v>
      </c>
      <c r="C40" s="54">
        <f>'Balance Sheet'!C106/'Income Statement'!C11</f>
        <v>6.3618662472852541E-2</v>
      </c>
      <c r="D40" s="54">
        <f>'Balance Sheet'!D106/'Income Statement'!D11</f>
        <v>5.1538877229141272E-2</v>
      </c>
      <c r="E40" s="54">
        <f>'Balance Sheet'!E106/'Income Statement'!E11</f>
        <v>5.0014002393136282E-2</v>
      </c>
      <c r="F40" s="54">
        <f>'Balance Sheet'!F106/'Income Statement'!F11</f>
        <v>4.9140049140049137E-2</v>
      </c>
      <c r="G40" s="76">
        <f>'Balance Sheet'!G106/'Income Statement'!G11</f>
        <v>4.2962778425755022E-2</v>
      </c>
      <c r="H40" s="2"/>
      <c r="I40" s="379">
        <f>AVERAGE(G40,F40,E40,D40,C40)</f>
        <v>5.1454873932186854E-2</v>
      </c>
      <c r="J40" s="378">
        <f>AVERAGE(G40,F40,E40)</f>
        <v>4.737227665298014E-2</v>
      </c>
      <c r="L40" s="379">
        <v>4.1399999999999999E-2</v>
      </c>
      <c r="M40" s="377">
        <v>3.8699999999999998E-2</v>
      </c>
      <c r="N40" s="377">
        <v>3.5900000000000001E-2</v>
      </c>
      <c r="O40" s="377">
        <v>3.4500000000000003E-2</v>
      </c>
      <c r="P40" s="378">
        <v>3.32E-2</v>
      </c>
    </row>
    <row r="41" spans="2:16" x14ac:dyDescent="0.2">
      <c r="C41" s="52"/>
      <c r="D41" s="52"/>
      <c r="E41" s="52"/>
      <c r="F41" s="52"/>
      <c r="G41" s="52"/>
      <c r="H41" s="2"/>
      <c r="I41" s="17"/>
      <c r="J41" s="17"/>
      <c r="L41" s="17"/>
      <c r="M41" s="17"/>
      <c r="N41" s="17"/>
      <c r="O41" s="17"/>
      <c r="P41" s="44"/>
    </row>
    <row r="42" spans="2:16" x14ac:dyDescent="0.2">
      <c r="B42" s="45" t="s">
        <v>233</v>
      </c>
      <c r="C42" s="55"/>
      <c r="D42" s="55"/>
      <c r="E42" s="55"/>
      <c r="F42" s="55"/>
      <c r="G42" s="56"/>
      <c r="H42" s="2"/>
      <c r="I42" s="372"/>
      <c r="J42" s="371"/>
      <c r="L42" s="372"/>
      <c r="M42" s="48"/>
      <c r="N42" s="48"/>
      <c r="O42" s="48"/>
      <c r="P42" s="46"/>
    </row>
    <row r="43" spans="2:16" x14ac:dyDescent="0.2">
      <c r="B43" s="328" t="s">
        <v>234</v>
      </c>
      <c r="C43" s="52"/>
      <c r="D43" s="52"/>
      <c r="E43" s="52"/>
      <c r="F43" s="52"/>
      <c r="G43" s="226">
        <f>'Balance Sheet'!G111</f>
        <v>0</v>
      </c>
      <c r="H43" s="2"/>
      <c r="I43" s="359"/>
      <c r="J43" s="360"/>
      <c r="L43" s="228">
        <f>G43</f>
        <v>0</v>
      </c>
      <c r="M43" s="138">
        <f>H43</f>
        <v>0</v>
      </c>
      <c r="N43" s="138">
        <f>I43</f>
        <v>0</v>
      </c>
      <c r="O43" s="138">
        <f>J43</f>
        <v>0</v>
      </c>
      <c r="P43" s="226">
        <f>K43</f>
        <v>0</v>
      </c>
    </row>
    <row r="44" spans="2:16" x14ac:dyDescent="0.2">
      <c r="B44" s="328" t="s">
        <v>235</v>
      </c>
      <c r="C44" s="52"/>
      <c r="D44" s="52"/>
      <c r="E44" s="52"/>
      <c r="F44" s="52"/>
      <c r="G44" s="226">
        <f>'Balance Sheet'!G112</f>
        <v>69460</v>
      </c>
      <c r="H44" s="2"/>
      <c r="I44" s="359"/>
      <c r="J44" s="360"/>
      <c r="L44" s="228">
        <f>G44</f>
        <v>69460</v>
      </c>
      <c r="M44" s="138">
        <f>G44</f>
        <v>69460</v>
      </c>
      <c r="N44" s="138">
        <f>G44</f>
        <v>69460</v>
      </c>
      <c r="O44" s="138">
        <f>G44</f>
        <v>69460</v>
      </c>
      <c r="P44" s="226">
        <f>G44</f>
        <v>69460</v>
      </c>
    </row>
    <row r="45" spans="2:16" x14ac:dyDescent="0.2">
      <c r="B45" s="328" t="s">
        <v>236</v>
      </c>
      <c r="C45" s="52"/>
      <c r="D45" s="52"/>
      <c r="E45" s="52"/>
      <c r="F45" s="52"/>
      <c r="G45" s="226">
        <f>'Balance Sheet'!G113</f>
        <v>-30545</v>
      </c>
      <c r="H45" s="2"/>
      <c r="I45" s="359"/>
      <c r="J45" s="360"/>
      <c r="L45" s="228">
        <f>$G$45</f>
        <v>-30545</v>
      </c>
      <c r="M45" s="138">
        <f>$G$45</f>
        <v>-30545</v>
      </c>
      <c r="N45" s="138">
        <f>$G$45</f>
        <v>-30545</v>
      </c>
      <c r="O45" s="138">
        <f>$G$45</f>
        <v>-30545</v>
      </c>
      <c r="P45" s="226">
        <f>$G$45</f>
        <v>-30545</v>
      </c>
    </row>
    <row r="46" spans="2:16" x14ac:dyDescent="0.2">
      <c r="B46" s="328" t="s">
        <v>237</v>
      </c>
      <c r="C46" s="52"/>
      <c r="D46" s="2"/>
      <c r="E46" s="2"/>
      <c r="F46" s="2"/>
      <c r="G46" s="226">
        <f>'Balance Sheet'!G114</f>
        <v>-848</v>
      </c>
      <c r="H46" s="2"/>
      <c r="I46" s="359"/>
      <c r="J46" s="360"/>
      <c r="L46" s="228">
        <f>$G$46</f>
        <v>-848</v>
      </c>
      <c r="M46" s="138">
        <f>$G$46</f>
        <v>-848</v>
      </c>
      <c r="N46" s="138">
        <f>$G$46</f>
        <v>-848</v>
      </c>
      <c r="O46" s="138">
        <f>$G$46</f>
        <v>-848</v>
      </c>
      <c r="P46" s="226">
        <f>$G$46</f>
        <v>-848</v>
      </c>
    </row>
    <row r="47" spans="2:16" x14ac:dyDescent="0.2">
      <c r="B47" s="376" t="s">
        <v>238</v>
      </c>
      <c r="C47" s="54"/>
      <c r="D47" s="57"/>
      <c r="E47" s="57"/>
      <c r="F47" s="57"/>
      <c r="G47" s="230">
        <f>'Balance Sheet'!G115</f>
        <v>21136</v>
      </c>
      <c r="H47" s="2"/>
      <c r="I47" s="379"/>
      <c r="J47" s="378"/>
      <c r="L47" s="229">
        <f>$G$47</f>
        <v>21136</v>
      </c>
      <c r="M47" s="227">
        <f>$G$47</f>
        <v>21136</v>
      </c>
      <c r="N47" s="227">
        <f>$G$47</f>
        <v>21136</v>
      </c>
      <c r="O47" s="227">
        <f>$G$47</f>
        <v>21136</v>
      </c>
      <c r="P47" s="230">
        <f>$G$47</f>
        <v>21136</v>
      </c>
    </row>
    <row r="48" spans="2:16" x14ac:dyDescent="0.2">
      <c r="C48" s="58"/>
      <c r="D48" s="58"/>
      <c r="E48" s="58"/>
      <c r="F48" s="58"/>
      <c r="G48" s="58"/>
      <c r="H48" s="2"/>
      <c r="I48" s="17"/>
      <c r="J48" s="17"/>
      <c r="L48" s="43"/>
      <c r="M48" s="43"/>
      <c r="N48" s="43"/>
      <c r="O48" s="43"/>
      <c r="P48" s="43"/>
    </row>
    <row r="49" spans="2:16" x14ac:dyDescent="0.2">
      <c r="B49" s="10" t="s">
        <v>293</v>
      </c>
      <c r="C49" s="203">
        <f>Calcs!C15/'Income Statement'!C11</f>
        <v>-0.15384807409071619</v>
      </c>
      <c r="D49" s="203">
        <f>Calcs!D15/'Income Statement'!D11</f>
        <v>-0.17556647522338539</v>
      </c>
      <c r="E49" s="203">
        <f>Calcs!E15/'Income Statement'!E11</f>
        <v>-0.12476132284426793</v>
      </c>
      <c r="F49" s="203">
        <f>Calcs!F15/'Income Statement'!F11</f>
        <v>-0.10859950859950859</v>
      </c>
      <c r="G49" s="204">
        <f>Calcs!G15/'Income Statement'!G11</f>
        <v>-0.11272916690258071</v>
      </c>
      <c r="H49" s="2"/>
      <c r="I49" s="357">
        <f t="shared" ref="I49" si="8">AVERAGE(G49,F49,E49,D49,C49)</f>
        <v>-0.13510090953209178</v>
      </c>
      <c r="J49" s="356">
        <f t="shared" ref="J49" si="9">AVERAGE(G49,F49,E49)</f>
        <v>-0.11536333278211908</v>
      </c>
      <c r="L49" s="386">
        <v>-0.112</v>
      </c>
      <c r="M49" s="355">
        <v>-0.111</v>
      </c>
      <c r="N49" s="355">
        <v>-0.109</v>
      </c>
      <c r="O49" s="355">
        <v>-0.108</v>
      </c>
      <c r="P49" s="387">
        <v>-0.107</v>
      </c>
    </row>
    <row r="50" spans="2:16" x14ac:dyDescent="0.2">
      <c r="B50" s="13"/>
      <c r="C50" s="202"/>
      <c r="D50" s="202"/>
      <c r="E50" s="54"/>
      <c r="F50" s="54"/>
      <c r="G50" s="76"/>
      <c r="H50" s="2"/>
      <c r="I50" s="379"/>
      <c r="J50" s="378"/>
      <c r="L50" s="379"/>
      <c r="M50" s="377"/>
      <c r="N50" s="377"/>
      <c r="O50" s="377"/>
      <c r="P50" s="388"/>
    </row>
    <row r="51" spans="2:16" x14ac:dyDescent="0.2">
      <c r="C51" s="52"/>
      <c r="D51" s="52"/>
      <c r="E51" s="52"/>
      <c r="F51" s="52"/>
      <c r="G51" s="52"/>
      <c r="H51" s="2"/>
      <c r="I51" s="17"/>
      <c r="J51" s="17"/>
      <c r="L51" s="17"/>
      <c r="M51" s="17"/>
      <c r="N51" s="17"/>
      <c r="O51" s="17"/>
      <c r="P51" s="17"/>
    </row>
    <row r="52" spans="2:16" x14ac:dyDescent="0.2">
      <c r="C52" s="2"/>
      <c r="D52" s="2"/>
      <c r="E52" s="2"/>
      <c r="F52" s="2"/>
      <c r="G52" s="2"/>
      <c r="H52" s="2"/>
    </row>
    <row r="53" spans="2:16" x14ac:dyDescent="0.2">
      <c r="C53" s="2"/>
      <c r="D53" s="2"/>
      <c r="E53" s="2"/>
      <c r="F53" s="2"/>
      <c r="G53" s="2"/>
      <c r="H53" s="2"/>
    </row>
    <row r="54" spans="2:16" x14ac:dyDescent="0.2">
      <c r="C54" s="2"/>
      <c r="D54" s="2"/>
      <c r="E54" s="2"/>
      <c r="F54" s="2"/>
      <c r="G54" s="2"/>
      <c r="H54" s="2"/>
    </row>
    <row r="55" spans="2:16" x14ac:dyDescent="0.2">
      <c r="C55" s="2"/>
      <c r="D55" s="2"/>
      <c r="E55" s="2"/>
      <c r="F55" s="2"/>
      <c r="G55" s="2"/>
      <c r="H55" s="2"/>
    </row>
    <row r="56" spans="2:16" x14ac:dyDescent="0.2">
      <c r="C56" s="2"/>
      <c r="D56" s="2"/>
      <c r="E56" s="2"/>
      <c r="F56" s="2"/>
      <c r="G56" s="2"/>
      <c r="H56" s="2"/>
    </row>
    <row r="57" spans="2:16" x14ac:dyDescent="0.2">
      <c r="C57" s="2"/>
      <c r="D57" s="2"/>
      <c r="E57" s="2"/>
      <c r="F57" s="2"/>
      <c r="G57" s="2"/>
      <c r="H57" s="2"/>
    </row>
    <row r="58" spans="2:16" x14ac:dyDescent="0.2">
      <c r="C58" s="2"/>
      <c r="D58" s="2"/>
      <c r="E58" s="2"/>
      <c r="F58" s="2"/>
      <c r="G58" s="2"/>
      <c r="H58" s="2"/>
    </row>
    <row r="59" spans="2:16" x14ac:dyDescent="0.2">
      <c r="C59" s="2"/>
      <c r="D59" s="2"/>
      <c r="E59" s="2"/>
      <c r="F59" s="2"/>
      <c r="G59" s="2"/>
      <c r="H59" s="2"/>
    </row>
    <row r="60" spans="2:16" x14ac:dyDescent="0.2">
      <c r="C60" s="2"/>
      <c r="D60" s="2"/>
      <c r="E60" s="2"/>
      <c r="F60" s="2"/>
      <c r="G60" s="2"/>
      <c r="H60" s="2"/>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B6D86-88B3-44A4-BC68-6255E40217B3}">
  <dimension ref="B2:R37"/>
  <sheetViews>
    <sheetView showGridLines="0" zoomScale="119" workbookViewId="0">
      <selection activeCell="Q19" sqref="Q19"/>
    </sheetView>
  </sheetViews>
  <sheetFormatPr baseColWidth="10" defaultColWidth="8.6640625" defaultRowHeight="15" x14ac:dyDescent="0.2"/>
  <cols>
    <col min="2" max="2" width="16.5" bestFit="1" customWidth="1"/>
    <col min="3" max="4" width="10.6640625" bestFit="1" customWidth="1"/>
    <col min="5" max="5" width="11.1640625" bestFit="1" customWidth="1"/>
    <col min="6" max="6" width="15.6640625" bestFit="1" customWidth="1"/>
    <col min="7" max="8" width="10.6640625" bestFit="1" customWidth="1"/>
    <col min="10" max="10" width="14" bestFit="1" customWidth="1"/>
    <col min="11" max="11" width="14.6640625" bestFit="1" customWidth="1"/>
    <col min="12" max="12" width="12.1640625" bestFit="1" customWidth="1"/>
    <col min="16" max="16" width="11.83203125" bestFit="1" customWidth="1"/>
    <col min="17" max="17" width="10.33203125" bestFit="1" customWidth="1"/>
  </cols>
  <sheetData>
    <row r="2" spans="2:18" x14ac:dyDescent="0.2">
      <c r="B2" s="526" t="s">
        <v>294</v>
      </c>
      <c r="C2" s="526"/>
      <c r="D2" s="526"/>
    </row>
    <row r="3" spans="2:18" x14ac:dyDescent="0.2">
      <c r="B3" s="526" t="s">
        <v>295</v>
      </c>
      <c r="C3" s="526"/>
      <c r="D3" s="526"/>
      <c r="F3" s="389"/>
    </row>
    <row r="4" spans="2:18" x14ac:dyDescent="0.2">
      <c r="B4" s="11"/>
      <c r="D4" s="21"/>
    </row>
    <row r="5" spans="2:18" x14ac:dyDescent="0.2">
      <c r="B5" s="11"/>
      <c r="C5" s="390" t="s">
        <v>296</v>
      </c>
      <c r="D5" s="391" t="s">
        <v>7</v>
      </c>
      <c r="G5" s="390"/>
      <c r="H5" s="390"/>
    </row>
    <row r="6" spans="2:18" x14ac:dyDescent="0.2">
      <c r="B6" s="11" t="s">
        <v>297</v>
      </c>
      <c r="C6" s="25">
        <f>'Income Statement'!G11</f>
        <v>88309</v>
      </c>
      <c r="D6" s="392">
        <f>C6</f>
        <v>88309</v>
      </c>
      <c r="G6" s="393"/>
      <c r="H6" s="42"/>
    </row>
    <row r="7" spans="2:18" x14ac:dyDescent="0.2">
      <c r="B7" s="11" t="s">
        <v>298</v>
      </c>
      <c r="C7" s="25">
        <f>'Income Statement'!G20</f>
        <v>18279</v>
      </c>
      <c r="D7" s="394">
        <f t="shared" ref="D7:D12" si="0">C7</f>
        <v>18279</v>
      </c>
      <c r="G7" s="393"/>
      <c r="H7" s="42"/>
    </row>
    <row r="8" spans="2:18" x14ac:dyDescent="0.2">
      <c r="B8" s="11" t="s">
        <v>299</v>
      </c>
      <c r="C8" s="25">
        <f>'Income Statement'!G18</f>
        <v>13508</v>
      </c>
      <c r="D8" s="394">
        <f t="shared" si="0"/>
        <v>13508</v>
      </c>
      <c r="G8" s="393"/>
      <c r="H8" s="42"/>
    </row>
    <row r="9" spans="2:18" x14ac:dyDescent="0.2">
      <c r="B9" s="395" t="s">
        <v>300</v>
      </c>
      <c r="C9" s="135">
        <f>SUM(C7:C8)</f>
        <v>31787</v>
      </c>
      <c r="D9" s="396">
        <f t="shared" si="0"/>
        <v>31787</v>
      </c>
      <c r="F9" s="313"/>
      <c r="G9" s="140"/>
      <c r="H9" s="397"/>
    </row>
    <row r="10" spans="2:18" x14ac:dyDescent="0.2">
      <c r="B10" s="395" t="s">
        <v>266</v>
      </c>
      <c r="C10" s="25">
        <f>'Income Statement'!G25</f>
        <v>10992</v>
      </c>
      <c r="D10" s="394">
        <f t="shared" si="0"/>
        <v>10992</v>
      </c>
      <c r="F10" s="313"/>
      <c r="G10" s="393"/>
      <c r="H10" s="42"/>
    </row>
    <row r="11" spans="2:18" x14ac:dyDescent="0.2">
      <c r="B11" s="11" t="s">
        <v>293</v>
      </c>
      <c r="C11" s="25">
        <f>Calcs!G15</f>
        <v>-9955</v>
      </c>
      <c r="D11" s="394">
        <f t="shared" si="0"/>
        <v>-9955</v>
      </c>
      <c r="G11" s="393"/>
      <c r="H11" s="42"/>
    </row>
    <row r="12" spans="2:18" x14ac:dyDescent="0.2">
      <c r="B12" s="398" t="s">
        <v>301</v>
      </c>
      <c r="C12" s="399">
        <f>C9+C11</f>
        <v>21832</v>
      </c>
      <c r="D12" s="400">
        <f t="shared" si="0"/>
        <v>21832</v>
      </c>
      <c r="F12" s="313"/>
      <c r="G12" s="401"/>
      <c r="H12" s="397"/>
    </row>
    <row r="15" spans="2:18" x14ac:dyDescent="0.2">
      <c r="B15" s="526" t="s">
        <v>302</v>
      </c>
      <c r="C15" s="526"/>
      <c r="D15" s="526"/>
      <c r="F15" s="526" t="s">
        <v>303</v>
      </c>
      <c r="G15" s="526"/>
      <c r="H15" s="526"/>
      <c r="J15" s="526" t="s">
        <v>304</v>
      </c>
      <c r="K15" s="526"/>
      <c r="L15" s="526"/>
      <c r="N15" s="526" t="s">
        <v>305</v>
      </c>
      <c r="O15" s="526"/>
      <c r="P15" s="526"/>
      <c r="Q15" s="526"/>
      <c r="R15" s="526"/>
    </row>
    <row r="16" spans="2:18" x14ac:dyDescent="0.2">
      <c r="B16" s="526" t="s">
        <v>295</v>
      </c>
      <c r="C16" s="526"/>
      <c r="D16" s="526"/>
      <c r="F16" s="526" t="s">
        <v>295</v>
      </c>
      <c r="G16" s="526"/>
      <c r="H16" s="526"/>
      <c r="J16" s="526" t="s">
        <v>295</v>
      </c>
      <c r="K16" s="526"/>
      <c r="L16" s="526"/>
      <c r="N16" s="526" t="s">
        <v>295</v>
      </c>
      <c r="O16" s="526"/>
      <c r="P16" s="526"/>
      <c r="Q16" s="526"/>
      <c r="R16" s="526"/>
    </row>
    <row r="17" spans="2:18" x14ac:dyDescent="0.2">
      <c r="B17" s="11"/>
      <c r="D17" s="21"/>
      <c r="F17" s="11"/>
      <c r="H17" s="21"/>
      <c r="J17" s="11"/>
      <c r="L17" s="21"/>
      <c r="N17" s="402"/>
      <c r="R17" s="21"/>
    </row>
    <row r="18" spans="2:18" x14ac:dyDescent="0.2">
      <c r="B18" s="11"/>
      <c r="C18" s="390">
        <v>2025</v>
      </c>
      <c r="D18" s="391" t="s">
        <v>7</v>
      </c>
      <c r="F18" s="11"/>
      <c r="G18" s="390">
        <v>2025</v>
      </c>
      <c r="H18" s="391" t="s">
        <v>7</v>
      </c>
      <c r="J18" s="11"/>
      <c r="K18" s="390">
        <v>2025</v>
      </c>
      <c r="L18" s="391" t="s">
        <v>7</v>
      </c>
      <c r="N18" s="11"/>
      <c r="O18" s="403" t="s">
        <v>145</v>
      </c>
      <c r="P18" s="403" t="s">
        <v>306</v>
      </c>
      <c r="Q18" s="313" t="s">
        <v>307</v>
      </c>
      <c r="R18" s="404" t="s">
        <v>147</v>
      </c>
    </row>
    <row r="19" spans="2:18" x14ac:dyDescent="0.2">
      <c r="B19" s="11" t="s">
        <v>297</v>
      </c>
      <c r="C19" s="405">
        <v>138191</v>
      </c>
      <c r="D19" s="392">
        <f>C19</f>
        <v>138191</v>
      </c>
      <c r="F19" s="11" t="s">
        <v>297</v>
      </c>
      <c r="G19" s="405">
        <v>125648</v>
      </c>
      <c r="H19" s="392">
        <f t="shared" ref="H19:H25" si="1">G19</f>
        <v>125648</v>
      </c>
      <c r="J19" s="11" t="s">
        <v>297</v>
      </c>
      <c r="K19" s="405">
        <v>54774</v>
      </c>
      <c r="L19" s="392">
        <f t="shared" ref="L19:L25" si="2">K19</f>
        <v>54774</v>
      </c>
      <c r="N19" s="406" t="s">
        <v>65</v>
      </c>
      <c r="O19" s="242">
        <f>'Balance Sheet'!G27</f>
        <v>5135</v>
      </c>
      <c r="P19" s="242">
        <v>81147</v>
      </c>
      <c r="Q19" s="407">
        <f>O19+P19</f>
        <v>86282</v>
      </c>
      <c r="R19" s="243">
        <f>'Balance Sheet'!G5</f>
        <v>5598</v>
      </c>
    </row>
    <row r="20" spans="2:18" x14ac:dyDescent="0.2">
      <c r="B20" s="11" t="s">
        <v>298</v>
      </c>
      <c r="C20" s="405">
        <v>29259</v>
      </c>
      <c r="D20" s="394">
        <f t="shared" ref="D20:D25" si="3">C20</f>
        <v>29259</v>
      </c>
      <c r="F20" s="11" t="s">
        <v>298</v>
      </c>
      <c r="G20" s="405">
        <v>24162</v>
      </c>
      <c r="H20" s="394">
        <f t="shared" si="1"/>
        <v>24162</v>
      </c>
      <c r="J20" s="11" t="s">
        <v>298</v>
      </c>
      <c r="K20" s="405">
        <v>12908</v>
      </c>
      <c r="L20" s="394">
        <f t="shared" si="2"/>
        <v>12908</v>
      </c>
      <c r="N20" s="11" t="s">
        <v>308</v>
      </c>
      <c r="O20" s="408">
        <v>18618</v>
      </c>
      <c r="P20" s="408">
        <v>139532</v>
      </c>
      <c r="Q20" s="409">
        <f t="shared" ref="Q20:Q22" si="4">P20+O20</f>
        <v>158150</v>
      </c>
      <c r="R20" s="410">
        <v>19048</v>
      </c>
    </row>
    <row r="21" spans="2:18" x14ac:dyDescent="0.2">
      <c r="B21" s="11" t="s">
        <v>299</v>
      </c>
      <c r="C21" s="405">
        <v>18349</v>
      </c>
      <c r="D21" s="394">
        <f t="shared" si="3"/>
        <v>18349</v>
      </c>
      <c r="F21" s="11" t="s">
        <v>299</v>
      </c>
      <c r="G21" s="405">
        <v>20886</v>
      </c>
      <c r="H21" s="394">
        <f t="shared" si="1"/>
        <v>20886</v>
      </c>
      <c r="J21" s="11" t="s">
        <v>299</v>
      </c>
      <c r="K21" s="405">
        <v>8711</v>
      </c>
      <c r="L21" s="394">
        <f t="shared" si="2"/>
        <v>8711</v>
      </c>
      <c r="N21" s="11" t="s">
        <v>309</v>
      </c>
      <c r="O21" s="408">
        <v>53780</v>
      </c>
      <c r="P21" s="408">
        <v>127089</v>
      </c>
      <c r="Q21" s="409">
        <f t="shared" si="4"/>
        <v>180869</v>
      </c>
      <c r="R21" s="411">
        <v>18234</v>
      </c>
    </row>
    <row r="22" spans="2:18" x14ac:dyDescent="0.2">
      <c r="B22" s="395" t="s">
        <v>300</v>
      </c>
      <c r="C22" s="135">
        <f>SUM(C20:C21)</f>
        <v>47608</v>
      </c>
      <c r="D22" s="396">
        <f t="shared" si="3"/>
        <v>47608</v>
      </c>
      <c r="F22" s="395" t="s">
        <v>300</v>
      </c>
      <c r="G22" s="135">
        <f>SUM(G20:G21)</f>
        <v>45048</v>
      </c>
      <c r="H22" s="396">
        <f t="shared" si="1"/>
        <v>45048</v>
      </c>
      <c r="J22" s="395" t="s">
        <v>300</v>
      </c>
      <c r="K22" s="135">
        <f>SUM(K20:K21)</f>
        <v>21619</v>
      </c>
      <c r="L22" s="396">
        <f t="shared" si="2"/>
        <v>21619</v>
      </c>
      <c r="N22" s="11" t="s">
        <v>310</v>
      </c>
      <c r="O22" s="408">
        <v>13306</v>
      </c>
      <c r="P22" s="408">
        <v>94006</v>
      </c>
      <c r="Q22" s="409">
        <f t="shared" si="4"/>
        <v>107312</v>
      </c>
      <c r="R22" s="412">
        <v>477</v>
      </c>
    </row>
    <row r="23" spans="2:18" x14ac:dyDescent="0.2">
      <c r="B23" s="395" t="s">
        <v>266</v>
      </c>
      <c r="C23" s="405">
        <v>17608</v>
      </c>
      <c r="D23" s="394">
        <f t="shared" si="3"/>
        <v>17608</v>
      </c>
      <c r="F23" s="395" t="s">
        <v>266</v>
      </c>
      <c r="G23" s="405">
        <v>23386</v>
      </c>
      <c r="H23" s="394">
        <f t="shared" si="1"/>
        <v>23386</v>
      </c>
      <c r="J23" s="395" t="s">
        <v>266</v>
      </c>
      <c r="K23" s="405">
        <v>5766</v>
      </c>
      <c r="L23" s="394">
        <f t="shared" si="2"/>
        <v>5766</v>
      </c>
      <c r="N23" s="11" t="s">
        <v>311</v>
      </c>
      <c r="O23" s="408">
        <v>1186</v>
      </c>
      <c r="P23" s="408">
        <v>35872</v>
      </c>
      <c r="Q23" s="409">
        <f>P23+O23</f>
        <v>37058</v>
      </c>
      <c r="R23" s="412">
        <v>1344</v>
      </c>
    </row>
    <row r="24" spans="2:18" x14ac:dyDescent="0.2">
      <c r="B24" s="11" t="s">
        <v>293</v>
      </c>
      <c r="C24" s="405">
        <v>-17011</v>
      </c>
      <c r="D24" s="394">
        <f t="shared" si="3"/>
        <v>-17011</v>
      </c>
      <c r="F24" s="11" t="s">
        <v>293</v>
      </c>
      <c r="G24" s="405">
        <v>-20842</v>
      </c>
      <c r="H24" s="394">
        <f t="shared" si="1"/>
        <v>-20842</v>
      </c>
      <c r="J24" s="11" t="s">
        <v>293</v>
      </c>
      <c r="K24" s="405">
        <v>-11700</v>
      </c>
      <c r="L24" s="394">
        <f t="shared" si="2"/>
        <v>-11700</v>
      </c>
      <c r="N24" s="11" t="s">
        <v>312</v>
      </c>
      <c r="O24" s="413">
        <v>0.94</v>
      </c>
      <c r="P24" s="414">
        <v>25.66</v>
      </c>
      <c r="Q24" s="409">
        <f>P24+O24</f>
        <v>26.6</v>
      </c>
      <c r="R24" s="412">
        <v>4.3049999999999997</v>
      </c>
    </row>
    <row r="25" spans="2:18" x14ac:dyDescent="0.2">
      <c r="B25" s="398" t="s">
        <v>301</v>
      </c>
      <c r="C25" s="399">
        <f>C22+C24</f>
        <v>30597</v>
      </c>
      <c r="D25" s="400">
        <f t="shared" si="3"/>
        <v>30597</v>
      </c>
      <c r="F25" s="398" t="s">
        <v>301</v>
      </c>
      <c r="G25" s="399">
        <f>G22+G24</f>
        <v>24206</v>
      </c>
      <c r="H25" s="400">
        <f t="shared" si="1"/>
        <v>24206</v>
      </c>
      <c r="J25" s="398" t="s">
        <v>301</v>
      </c>
      <c r="K25" s="399">
        <f>K22+K24</f>
        <v>9919</v>
      </c>
      <c r="L25" s="400">
        <f t="shared" si="2"/>
        <v>9919</v>
      </c>
      <c r="N25" s="13" t="s">
        <v>313</v>
      </c>
      <c r="O25" s="415">
        <v>88</v>
      </c>
      <c r="P25" s="415">
        <v>17353</v>
      </c>
      <c r="Q25" s="416">
        <f>P25+O25</f>
        <v>17441</v>
      </c>
      <c r="R25" s="417">
        <v>1003</v>
      </c>
    </row>
    <row r="27" spans="2:18" x14ac:dyDescent="0.2">
      <c r="B27" s="526" t="s">
        <v>314</v>
      </c>
      <c r="C27" s="526"/>
      <c r="D27" s="526"/>
      <c r="F27" s="526" t="s">
        <v>315</v>
      </c>
      <c r="G27" s="526"/>
      <c r="H27" s="526"/>
      <c r="I27" s="526"/>
      <c r="J27" s="535"/>
      <c r="L27" s="526" t="s">
        <v>316</v>
      </c>
      <c r="M27" s="526"/>
      <c r="N27" s="526"/>
    </row>
    <row r="28" spans="2:18" x14ac:dyDescent="0.2">
      <c r="B28" s="526" t="s">
        <v>295</v>
      </c>
      <c r="C28" s="526"/>
      <c r="D28" s="526"/>
      <c r="F28" s="526" t="s">
        <v>295</v>
      </c>
      <c r="G28" s="526"/>
      <c r="H28" s="526"/>
      <c r="I28" s="526"/>
      <c r="J28" s="535"/>
      <c r="L28" s="526"/>
      <c r="M28" s="526"/>
      <c r="N28" s="526"/>
    </row>
    <row r="29" spans="2:18" x14ac:dyDescent="0.2">
      <c r="B29" s="11"/>
      <c r="D29" s="21"/>
      <c r="F29" s="11"/>
      <c r="J29" s="21"/>
      <c r="L29" s="11"/>
      <c r="M29" s="275">
        <v>2025</v>
      </c>
      <c r="N29" s="418" t="s">
        <v>7</v>
      </c>
    </row>
    <row r="30" spans="2:18" x14ac:dyDescent="0.2">
      <c r="B30" s="11"/>
      <c r="C30" s="390">
        <v>2025</v>
      </c>
      <c r="D30" s="419" t="s">
        <v>7</v>
      </c>
      <c r="F30" s="11"/>
      <c r="G30" s="390" t="s">
        <v>317</v>
      </c>
      <c r="H30" s="390" t="s">
        <v>318</v>
      </c>
      <c r="I30" s="390" t="s">
        <v>319</v>
      </c>
      <c r="J30" s="419" t="s">
        <v>7</v>
      </c>
      <c r="L30" s="406" t="s">
        <v>65</v>
      </c>
      <c r="M30" s="414">
        <v>9.7200000000000006</v>
      </c>
      <c r="N30" s="244">
        <f>M30</f>
        <v>9.7200000000000006</v>
      </c>
    </row>
    <row r="31" spans="2:18" x14ac:dyDescent="0.2">
      <c r="B31" s="11" t="s">
        <v>297</v>
      </c>
      <c r="C31" s="405">
        <v>10715</v>
      </c>
      <c r="D31" s="394">
        <f>C31</f>
        <v>10715</v>
      </c>
      <c r="F31" s="11" t="s">
        <v>297</v>
      </c>
      <c r="G31" s="405">
        <v>11859</v>
      </c>
      <c r="H31" s="405">
        <v>15825</v>
      </c>
      <c r="I31" s="405">
        <v>11209</v>
      </c>
      <c r="J31" s="392">
        <f>I31+H31-G31</f>
        <v>15175</v>
      </c>
      <c r="L31" s="11" t="s">
        <v>308</v>
      </c>
      <c r="M31" s="414">
        <v>4.0599999999999996</v>
      </c>
      <c r="N31" s="244">
        <f>M31</f>
        <v>4.0599999999999996</v>
      </c>
    </row>
    <row r="32" spans="2:18" x14ac:dyDescent="0.2">
      <c r="B32" s="11" t="s">
        <v>298</v>
      </c>
      <c r="C32" s="405">
        <v>5018</v>
      </c>
      <c r="D32" s="394">
        <f t="shared" ref="D32:D37" si="5">C32</f>
        <v>5018</v>
      </c>
      <c r="F32" s="11" t="s">
        <v>298</v>
      </c>
      <c r="G32" s="420">
        <v>16.940000000000001</v>
      </c>
      <c r="H32" s="420">
        <v>0.3</v>
      </c>
      <c r="I32" s="420">
        <v>0.24</v>
      </c>
      <c r="J32" s="394">
        <f t="shared" ref="J32:J37" si="6">I32+H32-G32</f>
        <v>-16.400000000000002</v>
      </c>
      <c r="L32" s="11" t="s">
        <v>311</v>
      </c>
      <c r="M32" s="414">
        <v>5.0199999999999996</v>
      </c>
      <c r="N32" s="246">
        <v>5.39</v>
      </c>
    </row>
    <row r="33" spans="2:14" x14ac:dyDescent="0.2">
      <c r="B33" s="11" t="s">
        <v>299</v>
      </c>
      <c r="C33" s="405">
        <v>4802</v>
      </c>
      <c r="D33" s="394">
        <f t="shared" si="5"/>
        <v>4802</v>
      </c>
      <c r="F33" s="11" t="s">
        <v>299</v>
      </c>
      <c r="G33" s="420">
        <v>1.47</v>
      </c>
      <c r="H33" s="420">
        <v>1.93</v>
      </c>
      <c r="I33" s="420">
        <v>1.37</v>
      </c>
      <c r="J33" s="394">
        <f t="shared" si="6"/>
        <v>1.8299999999999998</v>
      </c>
      <c r="L33" s="11" t="s">
        <v>312</v>
      </c>
      <c r="M33" s="414">
        <v>10.81</v>
      </c>
      <c r="N33" s="246">
        <v>10.81</v>
      </c>
    </row>
    <row r="34" spans="2:14" x14ac:dyDescent="0.2">
      <c r="B34" s="395" t="s">
        <v>300</v>
      </c>
      <c r="C34" s="135">
        <f>SUM(C32:C33)</f>
        <v>9820</v>
      </c>
      <c r="D34" s="396">
        <f t="shared" si="5"/>
        <v>9820</v>
      </c>
      <c r="F34" s="395" t="s">
        <v>300</v>
      </c>
      <c r="G34" s="135">
        <f>SUM(G32:G33)</f>
        <v>18.41</v>
      </c>
      <c r="H34" s="421">
        <f t="shared" ref="H34:I34" si="7">SUM(H32:H33)</f>
        <v>2.23</v>
      </c>
      <c r="I34" s="421">
        <f t="shared" si="7"/>
        <v>1.61</v>
      </c>
      <c r="J34" s="396">
        <f>I34+H34-G34</f>
        <v>-14.57</v>
      </c>
      <c r="L34" s="11" t="s">
        <v>310</v>
      </c>
      <c r="M34" s="414">
        <v>36.21</v>
      </c>
      <c r="N34" s="246">
        <v>36.21</v>
      </c>
    </row>
    <row r="35" spans="2:14" x14ac:dyDescent="0.2">
      <c r="B35" s="395" t="s">
        <v>266</v>
      </c>
      <c r="C35" s="405">
        <v>6906</v>
      </c>
      <c r="D35" s="394">
        <f t="shared" si="5"/>
        <v>6906</v>
      </c>
      <c r="F35" s="395" t="s">
        <v>266</v>
      </c>
      <c r="G35" s="420">
        <v>0.45</v>
      </c>
      <c r="H35" s="420">
        <v>0.11899999999999999</v>
      </c>
      <c r="I35" s="422">
        <v>13.29</v>
      </c>
      <c r="J35" s="423">
        <f>(I35+H35)-G35</f>
        <v>12.959</v>
      </c>
      <c r="L35" s="11" t="s">
        <v>309</v>
      </c>
      <c r="M35" s="414">
        <v>3.04</v>
      </c>
      <c r="N35" s="246">
        <v>3.04</v>
      </c>
    </row>
    <row r="36" spans="2:14" x14ac:dyDescent="0.2">
      <c r="B36" s="11" t="s">
        <v>293</v>
      </c>
      <c r="C36" s="405">
        <v>3707</v>
      </c>
      <c r="D36" s="394">
        <f t="shared" si="5"/>
        <v>3707</v>
      </c>
      <c r="F36" s="11" t="s">
        <v>293</v>
      </c>
      <c r="G36" s="420">
        <v>1.2</v>
      </c>
      <c r="H36" s="420">
        <v>15.8</v>
      </c>
      <c r="I36" s="420">
        <v>0.81</v>
      </c>
      <c r="J36" s="394">
        <f t="shared" si="6"/>
        <v>15.41</v>
      </c>
      <c r="L36" s="13" t="s">
        <v>313</v>
      </c>
      <c r="M36" s="424">
        <v>-1.75</v>
      </c>
      <c r="N36" s="249">
        <v>-1.75</v>
      </c>
    </row>
    <row r="37" spans="2:14" x14ac:dyDescent="0.2">
      <c r="B37" s="398" t="s">
        <v>301</v>
      </c>
      <c r="C37" s="399">
        <f>C34+C36</f>
        <v>13527</v>
      </c>
      <c r="D37" s="400">
        <f t="shared" si="5"/>
        <v>13527</v>
      </c>
      <c r="F37" s="398" t="s">
        <v>301</v>
      </c>
      <c r="G37" s="276">
        <f>G36+G34</f>
        <v>19.61</v>
      </c>
      <c r="H37" s="399">
        <f t="shared" ref="H37:I37" si="8">H36+H34</f>
        <v>18.03</v>
      </c>
      <c r="I37" s="276">
        <f t="shared" si="8"/>
        <v>2.42</v>
      </c>
      <c r="J37" s="400">
        <f t="shared" si="6"/>
        <v>0.84000000000000341</v>
      </c>
      <c r="L37" s="313"/>
      <c r="M37" s="140"/>
      <c r="N37" s="140"/>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5567F-1168-48C4-BF77-3551E11D2F4B}">
  <dimension ref="B2:V31"/>
  <sheetViews>
    <sheetView showGridLines="0" zoomScale="85" zoomScaleNormal="85" workbookViewId="0">
      <selection activeCell="C7" sqref="C7"/>
    </sheetView>
  </sheetViews>
  <sheetFormatPr baseColWidth="10" defaultColWidth="8.6640625" defaultRowHeight="15" x14ac:dyDescent="0.2"/>
  <cols>
    <col min="2" max="2" width="15.5" bestFit="1" customWidth="1"/>
    <col min="3" max="3" width="14.5" customWidth="1"/>
    <col min="4" max="4" width="9" bestFit="1" customWidth="1"/>
    <col min="6" max="6" width="14.5" customWidth="1"/>
    <col min="7" max="7" width="9" bestFit="1" customWidth="1"/>
    <col min="9" max="9" width="14.5" customWidth="1"/>
    <col min="10" max="10" width="8.83203125" bestFit="1" customWidth="1"/>
    <col min="12" max="13" width="14.5" customWidth="1"/>
    <col min="15" max="15" width="15.5" bestFit="1" customWidth="1"/>
    <col min="16" max="16" width="8.83203125" bestFit="1" customWidth="1"/>
    <col min="18" max="18" width="18.5" bestFit="1" customWidth="1"/>
    <col min="19" max="19" width="12.6640625" bestFit="1" customWidth="1"/>
    <col min="20" max="20" width="10.83203125" bestFit="1" customWidth="1"/>
    <col min="21" max="21" width="14.5" customWidth="1"/>
    <col min="22" max="22" width="13.33203125" customWidth="1"/>
    <col min="23" max="25" width="11.6640625" customWidth="1"/>
  </cols>
  <sheetData>
    <row r="2" spans="2:21" x14ac:dyDescent="0.2">
      <c r="B2" s="526" t="s">
        <v>320</v>
      </c>
      <c r="C2" s="527" t="s">
        <v>65</v>
      </c>
      <c r="D2" s="527"/>
      <c r="E2" s="527"/>
      <c r="F2" s="527" t="s">
        <v>308</v>
      </c>
      <c r="G2" s="527"/>
      <c r="H2" s="527"/>
      <c r="I2" s="527" t="s">
        <v>309</v>
      </c>
      <c r="J2" s="527"/>
      <c r="K2" s="527"/>
      <c r="L2" s="527" t="s">
        <v>310</v>
      </c>
      <c r="M2" s="527"/>
      <c r="N2" s="527"/>
      <c r="O2" s="527" t="s">
        <v>311</v>
      </c>
      <c r="P2" s="527"/>
      <c r="Q2" s="527"/>
      <c r="R2" s="528" t="s">
        <v>312</v>
      </c>
      <c r="S2" s="38"/>
      <c r="T2" s="38"/>
      <c r="U2" s="38"/>
    </row>
    <row r="3" spans="2:21" x14ac:dyDescent="0.2">
      <c r="B3" s="529" t="s">
        <v>321</v>
      </c>
      <c r="C3" s="530" t="s">
        <v>322</v>
      </c>
      <c r="D3" s="530"/>
      <c r="E3" s="530"/>
      <c r="F3" s="530" t="s">
        <v>323</v>
      </c>
      <c r="G3" s="530"/>
      <c r="H3" s="530"/>
      <c r="I3" s="530" t="s">
        <v>324</v>
      </c>
      <c r="J3" s="530"/>
      <c r="K3" s="530"/>
      <c r="L3" s="530" t="s">
        <v>325</v>
      </c>
      <c r="M3" s="530"/>
      <c r="N3" s="530"/>
      <c r="O3" s="530" t="s">
        <v>326</v>
      </c>
      <c r="P3" s="530"/>
      <c r="Q3" s="530"/>
      <c r="R3" s="531" t="s">
        <v>327</v>
      </c>
      <c r="S3" s="38"/>
      <c r="T3" s="38"/>
      <c r="U3" s="38"/>
    </row>
    <row r="4" spans="2:21" x14ac:dyDescent="0.2">
      <c r="B4" s="328"/>
      <c r="E4" s="425"/>
      <c r="R4" s="21"/>
    </row>
    <row r="5" spans="2:21" x14ac:dyDescent="0.2">
      <c r="B5" s="328" t="s">
        <v>328</v>
      </c>
      <c r="C5" s="426">
        <v>218.65</v>
      </c>
      <c r="D5" s="427"/>
      <c r="E5" s="428"/>
      <c r="F5" s="426">
        <v>49.8</v>
      </c>
      <c r="G5" s="427"/>
      <c r="H5" s="429"/>
      <c r="I5" s="426">
        <v>28.52</v>
      </c>
      <c r="J5" s="427"/>
      <c r="K5" s="429"/>
      <c r="L5" s="426">
        <v>227.52</v>
      </c>
      <c r="M5" s="427"/>
      <c r="N5" s="429"/>
      <c r="O5" s="426">
        <v>39.93</v>
      </c>
      <c r="P5" s="427"/>
      <c r="Q5" s="429"/>
      <c r="R5" s="430">
        <v>115.53</v>
      </c>
      <c r="S5" s="427"/>
      <c r="T5" s="429"/>
      <c r="U5" s="426"/>
    </row>
    <row r="6" spans="2:21" x14ac:dyDescent="0.2">
      <c r="B6" s="328"/>
      <c r="C6" s="429"/>
      <c r="D6" s="431"/>
      <c r="E6" s="428"/>
      <c r="F6" s="429"/>
      <c r="G6" s="431"/>
      <c r="H6" s="429"/>
      <c r="I6" s="429"/>
      <c r="J6" s="431"/>
      <c r="K6" s="429"/>
      <c r="L6" s="429"/>
      <c r="M6" s="431"/>
      <c r="N6" s="429"/>
      <c r="O6" s="429"/>
      <c r="P6" s="431"/>
      <c r="Q6" s="429"/>
      <c r="R6" s="432"/>
      <c r="S6" s="431"/>
      <c r="T6" s="429"/>
      <c r="U6" s="429"/>
    </row>
    <row r="7" spans="2:21" x14ac:dyDescent="0.2">
      <c r="B7" s="328" t="s">
        <v>329</v>
      </c>
      <c r="C7" s="405">
        <v>1101.9000000000001</v>
      </c>
      <c r="D7" s="433"/>
      <c r="E7" s="434"/>
      <c r="F7" s="405">
        <v>4217.7</v>
      </c>
      <c r="G7" s="433"/>
      <c r="H7" s="435"/>
      <c r="I7" s="405">
        <v>7000.6</v>
      </c>
      <c r="J7" s="433"/>
      <c r="K7" s="435"/>
      <c r="L7" s="405">
        <v>126.6</v>
      </c>
      <c r="M7" s="433"/>
      <c r="N7" s="435"/>
      <c r="O7" s="436">
        <v>111.1</v>
      </c>
      <c r="P7" s="433"/>
      <c r="Q7" s="435"/>
      <c r="R7" s="437">
        <v>155.1</v>
      </c>
      <c r="S7" s="433"/>
      <c r="T7" s="435"/>
      <c r="U7" s="405"/>
    </row>
    <row r="8" spans="2:21" ht="16" thickBot="1" x14ac:dyDescent="0.25">
      <c r="B8" s="328"/>
      <c r="C8" s="403"/>
      <c r="E8" s="425"/>
      <c r="F8" s="403"/>
      <c r="I8" s="403"/>
      <c r="L8" s="403"/>
      <c r="R8" s="438"/>
      <c r="U8" s="403"/>
    </row>
    <row r="9" spans="2:21" x14ac:dyDescent="0.2">
      <c r="B9" s="439" t="s">
        <v>330</v>
      </c>
      <c r="C9" s="440">
        <f>C5*C7</f>
        <v>240930.43500000003</v>
      </c>
      <c r="D9" s="401"/>
      <c r="E9" s="441"/>
      <c r="F9" s="440">
        <f>F5*F7</f>
        <v>210041.46</v>
      </c>
      <c r="G9" s="401"/>
      <c r="H9" s="401"/>
      <c r="I9" s="440">
        <f>I5*I7</f>
        <v>199657.11199999999</v>
      </c>
      <c r="J9" s="401"/>
      <c r="K9" s="401"/>
      <c r="L9" s="440">
        <f>L5*L7</f>
        <v>28804.031999999999</v>
      </c>
      <c r="M9" s="401"/>
      <c r="N9" s="401"/>
      <c r="O9" s="440">
        <f>O5*O7</f>
        <v>4436.223</v>
      </c>
      <c r="P9" s="401"/>
      <c r="Q9" s="401"/>
      <c r="R9" s="442">
        <f>R5*R7</f>
        <v>17918.702999999998</v>
      </c>
      <c r="S9" s="401"/>
      <c r="T9" s="401"/>
      <c r="U9" s="443"/>
    </row>
    <row r="10" spans="2:21" x14ac:dyDescent="0.2">
      <c r="B10" s="328"/>
      <c r="C10" s="403"/>
      <c r="E10" s="425"/>
      <c r="F10" s="403"/>
      <c r="I10" s="403"/>
      <c r="L10" s="403"/>
      <c r="O10" s="403"/>
      <c r="R10" s="444"/>
      <c r="U10" s="403"/>
    </row>
    <row r="11" spans="2:21" x14ac:dyDescent="0.2">
      <c r="B11" s="328" t="s">
        <v>331</v>
      </c>
      <c r="C11" s="445">
        <f>LTM!Q19</f>
        <v>86282</v>
      </c>
      <c r="D11" s="446"/>
      <c r="E11" s="447"/>
      <c r="F11" s="445">
        <f>LTM!Q20</f>
        <v>158150</v>
      </c>
      <c r="G11" s="446"/>
      <c r="H11" s="446"/>
      <c r="I11" s="445">
        <f>LTM!Q21</f>
        <v>180869</v>
      </c>
      <c r="J11" s="446"/>
      <c r="K11" s="446"/>
      <c r="L11" s="445">
        <f>LTM!Q22</f>
        <v>107312</v>
      </c>
      <c r="M11" s="446"/>
      <c r="N11" s="446"/>
      <c r="O11" s="445">
        <f>LTM!Q23</f>
        <v>37058</v>
      </c>
      <c r="P11" s="446"/>
      <c r="Q11" s="446"/>
      <c r="R11" s="448">
        <f>LTM!Q24</f>
        <v>26.6</v>
      </c>
      <c r="S11" s="446"/>
      <c r="T11" s="446"/>
      <c r="U11" s="445"/>
    </row>
    <row r="12" spans="2:21" ht="16" thickBot="1" x14ac:dyDescent="0.25">
      <c r="B12" s="328" t="s">
        <v>147</v>
      </c>
      <c r="C12" s="449">
        <f>LTM!R19</f>
        <v>5598</v>
      </c>
      <c r="D12" s="446"/>
      <c r="E12" s="447"/>
      <c r="F12" s="449">
        <f>LTM!R20</f>
        <v>19048</v>
      </c>
      <c r="G12" s="446"/>
      <c r="H12" s="446"/>
      <c r="I12" s="449">
        <f>LTM!R21</f>
        <v>18234</v>
      </c>
      <c r="J12" s="446"/>
      <c r="K12" s="446"/>
      <c r="L12" s="449">
        <f>LTM!R22</f>
        <v>477</v>
      </c>
      <c r="M12" s="446"/>
      <c r="N12" s="446"/>
      <c r="O12" s="449">
        <f>LTM!R23</f>
        <v>1344</v>
      </c>
      <c r="P12" s="446"/>
      <c r="Q12" s="446"/>
      <c r="R12" s="450">
        <f>LTM!R24</f>
        <v>4.3049999999999997</v>
      </c>
      <c r="S12" s="446"/>
      <c r="T12" s="446"/>
      <c r="U12" s="445"/>
    </row>
    <row r="13" spans="2:21" x14ac:dyDescent="0.2">
      <c r="B13" s="439" t="s">
        <v>332</v>
      </c>
      <c r="C13" s="451">
        <f>C11-C12</f>
        <v>80684</v>
      </c>
      <c r="D13" s="401"/>
      <c r="E13" s="441"/>
      <c r="F13" s="451">
        <f>F11-F12</f>
        <v>139102</v>
      </c>
      <c r="G13" s="315"/>
      <c r="H13" s="315"/>
      <c r="I13" s="451">
        <f>I11-I12</f>
        <v>162635</v>
      </c>
      <c r="J13" s="401"/>
      <c r="K13" s="401"/>
      <c r="L13" s="451">
        <f>L11-L12</f>
        <v>106835</v>
      </c>
      <c r="M13" s="401"/>
      <c r="N13" s="401"/>
      <c r="O13" s="451">
        <f>O11-O12</f>
        <v>35714</v>
      </c>
      <c r="P13" s="401"/>
      <c r="Q13" s="401"/>
      <c r="R13" s="452">
        <f>R11-R12</f>
        <v>22.295000000000002</v>
      </c>
      <c r="S13" s="401"/>
      <c r="T13" s="401"/>
      <c r="U13" s="451"/>
    </row>
    <row r="14" spans="2:21" ht="16" thickBot="1" x14ac:dyDescent="0.25">
      <c r="B14" s="328"/>
      <c r="C14" s="453"/>
      <c r="D14" s="401"/>
      <c r="E14" s="441"/>
      <c r="F14" s="453"/>
      <c r="G14" s="401"/>
      <c r="H14" s="401"/>
      <c r="I14" s="453"/>
      <c r="J14" s="401"/>
      <c r="K14" s="401"/>
      <c r="L14" s="453"/>
      <c r="M14" s="401"/>
      <c r="N14" s="401"/>
      <c r="O14" s="453"/>
      <c r="P14" s="401"/>
      <c r="Q14" s="401"/>
      <c r="R14" s="454"/>
      <c r="S14" s="401"/>
      <c r="T14" s="401"/>
      <c r="U14" s="455"/>
    </row>
    <row r="15" spans="2:21" x14ac:dyDescent="0.2">
      <c r="B15" s="456" t="s">
        <v>333</v>
      </c>
      <c r="C15" s="457">
        <f>C9+C13</f>
        <v>321614.43500000006</v>
      </c>
      <c r="D15" s="458"/>
      <c r="E15" s="459"/>
      <c r="F15" s="457">
        <f>F9+F13</f>
        <v>349143.45999999996</v>
      </c>
      <c r="G15" s="458"/>
      <c r="H15" s="458"/>
      <c r="I15" s="457">
        <f>I9+I13</f>
        <v>362292.11199999996</v>
      </c>
      <c r="J15" s="458"/>
      <c r="K15" s="458"/>
      <c r="L15" s="457">
        <f>L9+L13</f>
        <v>135639.03200000001</v>
      </c>
      <c r="M15" s="458"/>
      <c r="N15" s="458"/>
      <c r="O15" s="457">
        <f>O9+O13</f>
        <v>40150.222999999998</v>
      </c>
      <c r="P15" s="458"/>
      <c r="Q15" s="458"/>
      <c r="R15" s="460">
        <f>R9+R13</f>
        <v>17940.997999999996</v>
      </c>
      <c r="S15" s="401"/>
      <c r="T15" s="401"/>
      <c r="U15" s="451"/>
    </row>
    <row r="16" spans="2:21" x14ac:dyDescent="0.2">
      <c r="C16" s="461"/>
      <c r="E16" s="425"/>
      <c r="F16" s="461"/>
      <c r="I16" s="461"/>
      <c r="L16" s="461"/>
      <c r="O16" s="461"/>
      <c r="R16" s="461"/>
    </row>
    <row r="17" spans="2:22" x14ac:dyDescent="0.2">
      <c r="E17" s="425"/>
    </row>
    <row r="18" spans="2:22" x14ac:dyDescent="0.2">
      <c r="B18" s="45" t="s">
        <v>334</v>
      </c>
      <c r="C18" s="462" t="s">
        <v>335</v>
      </c>
      <c r="D18" s="462" t="s">
        <v>336</v>
      </c>
      <c r="E18" s="463"/>
      <c r="F18" s="462" t="s">
        <v>335</v>
      </c>
      <c r="G18" s="462" t="s">
        <v>336</v>
      </c>
      <c r="H18" s="464"/>
      <c r="I18" s="462" t="s">
        <v>335</v>
      </c>
      <c r="J18" s="462" t="s">
        <v>336</v>
      </c>
      <c r="K18" s="464"/>
      <c r="L18" s="462" t="s">
        <v>335</v>
      </c>
      <c r="M18" s="462" t="s">
        <v>336</v>
      </c>
      <c r="N18" s="464"/>
      <c r="O18" s="462" t="s">
        <v>335</v>
      </c>
      <c r="P18" s="462" t="s">
        <v>336</v>
      </c>
      <c r="Q18" s="464"/>
      <c r="R18" s="462" t="s">
        <v>335</v>
      </c>
      <c r="S18" s="462" t="s">
        <v>336</v>
      </c>
      <c r="T18" s="532" t="s">
        <v>337</v>
      </c>
      <c r="U18" s="533" t="s">
        <v>338</v>
      </c>
      <c r="V18" s="534" t="s">
        <v>65</v>
      </c>
    </row>
    <row r="19" spans="2:22" x14ac:dyDescent="0.2">
      <c r="B19" s="328" t="s">
        <v>7</v>
      </c>
      <c r="C19" s="465">
        <f>LTM!D6</f>
        <v>88309</v>
      </c>
      <c r="D19" s="466">
        <f>C15/C19</f>
        <v>3.6419213783419591</v>
      </c>
      <c r="E19" s="467"/>
      <c r="F19" s="465">
        <f>LTM!D19</f>
        <v>138191</v>
      </c>
      <c r="G19" s="466">
        <f>F15/F19</f>
        <v>2.5265282109544036</v>
      </c>
      <c r="I19" s="465">
        <f>LTM!H19</f>
        <v>125648</v>
      </c>
      <c r="J19" s="466">
        <f>I15/I19</f>
        <v>2.8833894053228062</v>
      </c>
      <c r="L19" s="468">
        <f>LTM!L19</f>
        <v>54774</v>
      </c>
      <c r="M19" s="466">
        <f>L15/L19</f>
        <v>2.4763397232263484</v>
      </c>
      <c r="O19" s="468">
        <f>LTM!C31</f>
        <v>10715</v>
      </c>
      <c r="P19" s="466">
        <f>O15/O19</f>
        <v>3.7471043397106856</v>
      </c>
      <c r="R19" s="469">
        <f>LTM!J31</f>
        <v>15175</v>
      </c>
      <c r="S19" s="470">
        <f>R15/R19</f>
        <v>1.1822733443163094</v>
      </c>
      <c r="T19" s="471">
        <f>AVERAGE(D19,G19,J19,M19,P19, S19)</f>
        <v>2.7429260669787521</v>
      </c>
      <c r="U19" s="470">
        <f>MEDIAN(D19,G19,J19,M19,P19,S19)</f>
        <v>2.7049588081386049</v>
      </c>
      <c r="V19" s="472">
        <f>D19</f>
        <v>3.6419213783419591</v>
      </c>
    </row>
    <row r="20" spans="2:22" x14ac:dyDescent="0.2">
      <c r="B20" s="328"/>
      <c r="C20" s="473"/>
      <c r="D20" s="466"/>
      <c r="E20" s="467"/>
      <c r="F20" s="473"/>
      <c r="G20" s="466"/>
      <c r="I20" s="473"/>
      <c r="J20" s="466"/>
      <c r="L20" s="474"/>
      <c r="M20" s="466"/>
      <c r="O20" s="474"/>
      <c r="P20" s="466"/>
      <c r="R20" s="475"/>
      <c r="S20" s="470"/>
      <c r="T20" s="476"/>
      <c r="U20" s="470"/>
      <c r="V20" s="477"/>
    </row>
    <row r="21" spans="2:22" x14ac:dyDescent="0.2">
      <c r="B21" s="439" t="s">
        <v>339</v>
      </c>
      <c r="C21" s="473"/>
      <c r="D21" s="466"/>
      <c r="E21" s="467"/>
      <c r="F21" s="473"/>
      <c r="G21" s="466"/>
      <c r="I21" s="473"/>
      <c r="J21" s="466"/>
      <c r="L21" s="474"/>
      <c r="M21" s="466"/>
      <c r="O21" s="474"/>
      <c r="P21" s="466"/>
      <c r="R21" s="475"/>
      <c r="S21" s="470"/>
      <c r="T21" s="471"/>
      <c r="U21" s="470"/>
      <c r="V21" s="477"/>
    </row>
    <row r="22" spans="2:22" x14ac:dyDescent="0.2">
      <c r="B22" s="328" t="s">
        <v>7</v>
      </c>
      <c r="C22" s="473">
        <f>LTM!D9</f>
        <v>31787</v>
      </c>
      <c r="D22" s="478">
        <f>C15/C22</f>
        <v>10.117797684588041</v>
      </c>
      <c r="E22" s="479"/>
      <c r="F22" s="473">
        <f>LTM!D22</f>
        <v>47608</v>
      </c>
      <c r="G22" s="478">
        <f>F15/F22</f>
        <v>7.3337140816669457</v>
      </c>
      <c r="I22" s="473">
        <f>LTM!H22</f>
        <v>45048</v>
      </c>
      <c r="J22" s="478">
        <f>I15/I22</f>
        <v>8.0423573077606108</v>
      </c>
      <c r="L22" s="474">
        <f>LTM!L22</f>
        <v>21619</v>
      </c>
      <c r="M22" s="478">
        <f>L15/L22</f>
        <v>6.2740659604977109</v>
      </c>
      <c r="O22" s="474">
        <f>LTM!D34</f>
        <v>9820</v>
      </c>
      <c r="P22" s="478">
        <f>O15/O22</f>
        <v>4.0886174134419546</v>
      </c>
      <c r="R22" s="475">
        <f>LTM!J34</f>
        <v>-14.57</v>
      </c>
      <c r="S22" s="480">
        <f>R15/R22</f>
        <v>-1231.3656829100889</v>
      </c>
      <c r="T22" s="471">
        <f>AVERAGE(D22,G22,J22,M22,P22, S22)</f>
        <v>-199.25152174368895</v>
      </c>
      <c r="U22" s="470">
        <f>MEDIAN(D22,G22,J22,M22,P22,S22)</f>
        <v>6.8038900210823279</v>
      </c>
      <c r="V22" s="481">
        <f>D22</f>
        <v>10.117797684588041</v>
      </c>
    </row>
    <row r="23" spans="2:22" x14ac:dyDescent="0.2">
      <c r="B23" s="328"/>
      <c r="C23" s="473"/>
      <c r="D23" s="466"/>
      <c r="E23" s="467"/>
      <c r="F23" s="473"/>
      <c r="G23" s="466"/>
      <c r="I23" s="473"/>
      <c r="J23" s="466"/>
      <c r="L23" s="474"/>
      <c r="M23" s="466"/>
      <c r="O23" s="474"/>
      <c r="P23" s="466"/>
      <c r="R23" s="475"/>
      <c r="S23" s="470"/>
      <c r="T23" s="471"/>
      <c r="U23" s="470"/>
      <c r="V23" s="477"/>
    </row>
    <row r="24" spans="2:22" x14ac:dyDescent="0.2">
      <c r="B24" s="439" t="s">
        <v>340</v>
      </c>
      <c r="C24" s="473"/>
      <c r="D24" s="466"/>
      <c r="E24" s="467"/>
      <c r="F24" s="473"/>
      <c r="G24" s="466"/>
      <c r="I24" s="473"/>
      <c r="J24" s="466"/>
      <c r="L24" s="474"/>
      <c r="M24" s="466"/>
      <c r="O24" s="474"/>
      <c r="P24" s="466"/>
      <c r="R24" s="475"/>
      <c r="S24" s="470"/>
      <c r="T24" s="471"/>
      <c r="U24" s="470"/>
      <c r="V24" s="477"/>
    </row>
    <row r="25" spans="2:22" x14ac:dyDescent="0.2">
      <c r="B25" s="328" t="s">
        <v>7</v>
      </c>
      <c r="C25" s="473">
        <f>LTM!D7</f>
        <v>18279</v>
      </c>
      <c r="D25" s="466">
        <f>C15/C25</f>
        <v>17.594749986323105</v>
      </c>
      <c r="E25" s="467"/>
      <c r="F25" s="465">
        <f>LTM!D20</f>
        <v>29259</v>
      </c>
      <c r="G25" s="466">
        <f>F15/F25</f>
        <v>11.932856898732012</v>
      </c>
      <c r="I25" s="473">
        <f>LTM!H20</f>
        <v>24162</v>
      </c>
      <c r="J25" s="466">
        <f>I15/I25</f>
        <v>14.994293187650028</v>
      </c>
      <c r="L25" s="474">
        <f>LTM!L20</f>
        <v>12908</v>
      </c>
      <c r="M25" s="466">
        <f>L15/L25</f>
        <v>10.508136969321352</v>
      </c>
      <c r="O25" s="474">
        <f>LTM!C32</f>
        <v>5018</v>
      </c>
      <c r="P25" s="466">
        <f>O15/O25</f>
        <v>8.0012401355121554</v>
      </c>
      <c r="R25" s="475">
        <f>LTM!J32</f>
        <v>-16.400000000000002</v>
      </c>
      <c r="S25" s="470">
        <f>R15/R25</f>
        <v>-1093.9632926829265</v>
      </c>
      <c r="T25" s="471">
        <f>AVERAGE(D25,G25,J25,M25,P25, S25)</f>
        <v>-171.82200258423131</v>
      </c>
      <c r="U25" s="470">
        <f>MEDIAN(S25,P25,M25,J25,G25,D25)</f>
        <v>11.220496934026682</v>
      </c>
      <c r="V25" s="477">
        <f>D25</f>
        <v>17.594749986323105</v>
      </c>
    </row>
    <row r="26" spans="2:22" x14ac:dyDescent="0.2">
      <c r="B26" s="328"/>
      <c r="C26" s="473"/>
      <c r="D26" s="466"/>
      <c r="E26" s="467"/>
      <c r="F26" s="473"/>
      <c r="G26" s="466"/>
      <c r="I26" s="473"/>
      <c r="J26" s="466"/>
      <c r="L26" s="474"/>
      <c r="M26" s="466"/>
      <c r="O26" s="474"/>
      <c r="P26" s="466"/>
      <c r="R26" s="475"/>
      <c r="S26" s="470"/>
      <c r="T26" s="471"/>
      <c r="U26" s="470"/>
      <c r="V26" s="477"/>
    </row>
    <row r="27" spans="2:22" x14ac:dyDescent="0.2">
      <c r="B27" s="439" t="s">
        <v>341</v>
      </c>
      <c r="C27" s="245"/>
      <c r="D27" s="466"/>
      <c r="E27" s="467"/>
      <c r="F27" s="473"/>
      <c r="G27" s="466"/>
      <c r="I27" s="473"/>
      <c r="J27" s="466"/>
      <c r="L27" s="474"/>
      <c r="M27" s="466"/>
      <c r="O27" s="474"/>
      <c r="P27" s="466"/>
      <c r="R27" s="475"/>
      <c r="S27" s="470"/>
      <c r="T27" s="471"/>
      <c r="U27" s="470"/>
      <c r="V27" s="477"/>
    </row>
    <row r="28" spans="2:22" x14ac:dyDescent="0.2">
      <c r="B28" s="328" t="s">
        <v>7</v>
      </c>
      <c r="C28" s="482">
        <f>LTM!N30</f>
        <v>9.7200000000000006</v>
      </c>
      <c r="D28" s="466">
        <f>C5/C28</f>
        <v>22.494855967078188</v>
      </c>
      <c r="E28" s="467"/>
      <c r="F28" s="482">
        <f>LTM!N31</f>
        <v>4.0599999999999996</v>
      </c>
      <c r="G28" s="466">
        <f>F5/F28</f>
        <v>12.266009852216749</v>
      </c>
      <c r="I28" s="482">
        <f>LTM!N35</f>
        <v>3.04</v>
      </c>
      <c r="J28" s="466">
        <f>I5/I28</f>
        <v>9.3815789473684212</v>
      </c>
      <c r="L28" s="483">
        <f>LTM!N34</f>
        <v>36.21</v>
      </c>
      <c r="M28" s="466">
        <f>L5/L28</f>
        <v>6.2833471416735707</v>
      </c>
      <c r="O28" s="483">
        <f>LTM!M32</f>
        <v>5.0199999999999996</v>
      </c>
      <c r="P28" s="466">
        <f>O5/O28</f>
        <v>7.9541832669322714</v>
      </c>
      <c r="R28" s="484">
        <f>LTM!N32</f>
        <v>5.39</v>
      </c>
      <c r="S28" s="470">
        <f>LTM!M33</f>
        <v>10.81</v>
      </c>
      <c r="T28" s="471">
        <f>AVERAGE(D28,G28,J28,M28,P28, S28)</f>
        <v>11.531662529211532</v>
      </c>
      <c r="U28" s="470">
        <f>MEDIAN(S28,P28,M28,J28,G28,D28)</f>
        <v>10.09578947368421</v>
      </c>
      <c r="V28" s="477">
        <f>D28</f>
        <v>22.494855967078188</v>
      </c>
    </row>
    <row r="29" spans="2:22" x14ac:dyDescent="0.2">
      <c r="B29" s="328"/>
      <c r="C29" s="245"/>
      <c r="D29" s="313"/>
      <c r="E29" s="485"/>
      <c r="F29" s="245"/>
      <c r="G29" s="313"/>
      <c r="I29" s="245"/>
      <c r="J29" s="313"/>
      <c r="L29" s="319"/>
      <c r="M29" s="313"/>
      <c r="O29" s="319"/>
      <c r="P29" s="313"/>
      <c r="R29" s="486"/>
      <c r="S29" s="487"/>
      <c r="T29" s="471"/>
      <c r="U29" s="470"/>
      <c r="V29" s="488"/>
    </row>
    <row r="30" spans="2:22" x14ac:dyDescent="0.2">
      <c r="B30" s="439" t="s">
        <v>342</v>
      </c>
      <c r="C30" s="245"/>
      <c r="D30" s="313"/>
      <c r="E30" s="485"/>
      <c r="F30" s="245"/>
      <c r="G30" s="313"/>
      <c r="I30" s="245"/>
      <c r="J30" s="313"/>
      <c r="L30" s="319"/>
      <c r="M30" s="313"/>
      <c r="O30" s="319"/>
      <c r="P30" s="313"/>
      <c r="R30" s="486"/>
      <c r="S30" s="487"/>
      <c r="T30" s="471"/>
      <c r="U30" s="470"/>
      <c r="V30" s="488"/>
    </row>
    <row r="31" spans="2:22" x14ac:dyDescent="0.2">
      <c r="B31" s="376" t="s">
        <v>7</v>
      </c>
      <c r="C31" s="415">
        <f>LTM!D12</f>
        <v>21832</v>
      </c>
      <c r="D31" s="489">
        <f>C15/C31</f>
        <v>14.731331760718215</v>
      </c>
      <c r="E31" s="490"/>
      <c r="F31" s="415">
        <f>LTM!D25</f>
        <v>30597</v>
      </c>
      <c r="G31" s="489">
        <f>F15/F31</f>
        <v>11.411035722456448</v>
      </c>
      <c r="H31" s="491"/>
      <c r="I31" s="492">
        <f>LTM!H25</f>
        <v>24206</v>
      </c>
      <c r="J31" s="489">
        <f>I15/I31</f>
        <v>14.96703759398496</v>
      </c>
      <c r="K31" s="491"/>
      <c r="L31" s="492">
        <f>LTM!L25</f>
        <v>9919</v>
      </c>
      <c r="M31" s="489">
        <f>L15/L31</f>
        <v>13.674668010888196</v>
      </c>
      <c r="N31" s="491"/>
      <c r="O31" s="492">
        <f>LTM!C37</f>
        <v>13527</v>
      </c>
      <c r="P31" s="489">
        <f>O15/O31</f>
        <v>2.9681542840245432</v>
      </c>
      <c r="Q31" s="491"/>
      <c r="R31" s="493">
        <f>LTM!D37</f>
        <v>13527</v>
      </c>
      <c r="S31" s="494">
        <f>LTM!J37</f>
        <v>0.84000000000000341</v>
      </c>
      <c r="T31" s="495">
        <f>AVERAGE(D31,G31,J31,M31,P31, S31)</f>
        <v>9.7653712286787275</v>
      </c>
      <c r="U31" s="494">
        <f>MEDIAN(S31,P31,M31,J31,G31,D31)</f>
        <v>12.542851866672322</v>
      </c>
      <c r="V31" s="496">
        <f>D31</f>
        <v>14.731331760718215</v>
      </c>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44629-E662-4668-8EB5-1CE6C9906368}">
  <dimension ref="B2:W33"/>
  <sheetViews>
    <sheetView showGridLines="0" tabSelected="1" zoomScale="84" workbookViewId="0">
      <selection activeCell="G26" sqref="G26"/>
    </sheetView>
  </sheetViews>
  <sheetFormatPr baseColWidth="10" defaultColWidth="8.83203125" defaultRowHeight="15" x14ac:dyDescent="0.2"/>
  <cols>
    <col min="2" max="2" width="33.1640625" bestFit="1" customWidth="1"/>
    <col min="3" max="3" width="10.1640625" bestFit="1" customWidth="1"/>
    <col min="4" max="7" width="11.83203125" bestFit="1" customWidth="1"/>
    <col min="8" max="8" width="13" bestFit="1" customWidth="1"/>
    <col min="9" max="9" width="10.5" bestFit="1" customWidth="1"/>
    <col min="10" max="10" width="21.5" bestFit="1" customWidth="1"/>
    <col min="11" max="11" width="10.83203125" bestFit="1" customWidth="1"/>
    <col min="12" max="12" width="7.5" bestFit="1" customWidth="1"/>
    <col min="13" max="13" width="19.6640625" bestFit="1" customWidth="1"/>
    <col min="14" max="14" width="8.83203125" bestFit="1" customWidth="1"/>
  </cols>
  <sheetData>
    <row r="2" spans="2:23" x14ac:dyDescent="0.2">
      <c r="B2" s="513" t="s">
        <v>343</v>
      </c>
      <c r="C2" s="514"/>
      <c r="D2" s="515" t="s">
        <v>11</v>
      </c>
      <c r="E2" s="515"/>
      <c r="F2" s="515"/>
      <c r="G2" s="515"/>
      <c r="H2" s="516"/>
      <c r="J2" s="521" t="s">
        <v>344</v>
      </c>
      <c r="K2" s="521"/>
      <c r="L2" s="521"/>
      <c r="M2" s="521" t="s">
        <v>345</v>
      </c>
      <c r="N2" s="521"/>
    </row>
    <row r="3" spans="2:23" x14ac:dyDescent="0.2">
      <c r="B3" s="517"/>
      <c r="C3" s="518"/>
      <c r="D3" s="519" t="s">
        <v>18</v>
      </c>
      <c r="E3" s="519" t="s">
        <v>19</v>
      </c>
      <c r="F3" s="519" t="s">
        <v>20</v>
      </c>
      <c r="G3" s="519" t="s">
        <v>21</v>
      </c>
      <c r="H3" s="520" t="s">
        <v>22</v>
      </c>
      <c r="J3" s="11" t="s">
        <v>346</v>
      </c>
      <c r="K3" s="131">
        <f>LTM!Q19</f>
        <v>86282</v>
      </c>
      <c r="L3" s="358">
        <f>K3/K5</f>
        <v>0.26368802273666642</v>
      </c>
      <c r="M3" s="11" t="s">
        <v>347</v>
      </c>
      <c r="N3" s="497">
        <v>0.44</v>
      </c>
    </row>
    <row r="4" spans="2:23" x14ac:dyDescent="0.2">
      <c r="B4" s="10" t="s">
        <v>348</v>
      </c>
      <c r="C4" s="69"/>
      <c r="D4" s="69"/>
      <c r="E4" s="69"/>
      <c r="F4" s="69"/>
      <c r="G4" s="69"/>
      <c r="H4" s="70"/>
      <c r="J4" s="11" t="s">
        <v>349</v>
      </c>
      <c r="K4" s="131">
        <f>Comps!C9</f>
        <v>240930.43500000003</v>
      </c>
      <c r="L4" s="358">
        <f>K4/K5</f>
        <v>0.73631197726333353</v>
      </c>
      <c r="M4" s="11" t="s">
        <v>350</v>
      </c>
      <c r="N4" s="358">
        <v>4.3999999999999997E-2</v>
      </c>
      <c r="R4" s="319"/>
      <c r="S4" s="17"/>
      <c r="T4" s="17"/>
      <c r="U4" s="17"/>
      <c r="V4" s="17"/>
      <c r="W4" s="17"/>
    </row>
    <row r="5" spans="2:23" x14ac:dyDescent="0.2">
      <c r="B5" s="11" t="s">
        <v>351</v>
      </c>
      <c r="D5" s="131">
        <f>'Income Statement'!H20</f>
        <v>18043.395639999988</v>
      </c>
      <c r="E5" s="131">
        <f>'Income Statement'!I20</f>
        <v>19208.376284084996</v>
      </c>
      <c r="F5" s="131">
        <f>'Income Statement'!J20</f>
        <v>22350.194722585962</v>
      </c>
      <c r="G5" s="131">
        <f>'Income Statement'!K20</f>
        <v>24328.187867747678</v>
      </c>
      <c r="H5" s="132">
        <f>'Income Statement'!L20</f>
        <v>26328.558790403564</v>
      </c>
      <c r="J5" s="15" t="s">
        <v>352</v>
      </c>
      <c r="K5" s="140">
        <f>SUM(K3:K4)</f>
        <v>327212.43500000006</v>
      </c>
      <c r="L5" s="21"/>
      <c r="M5" s="11" t="s">
        <v>353</v>
      </c>
      <c r="N5" s="358">
        <v>4.4600000000000001E-2</v>
      </c>
      <c r="R5" s="17"/>
    </row>
    <row r="6" spans="2:23" ht="16" thickBot="1" x14ac:dyDescent="0.25">
      <c r="B6" s="11" t="s">
        <v>354</v>
      </c>
      <c r="D6" s="498">
        <f>(1-Assumptions!L12)</f>
        <v>1.1100000000000001</v>
      </c>
      <c r="E6" s="498">
        <f>(1-Assumptions!M12)</f>
        <v>1.25</v>
      </c>
      <c r="F6" s="498">
        <f>(1-Assumptions!N12)</f>
        <v>1.2250000000000001</v>
      </c>
      <c r="G6" s="498">
        <f>(1-Assumptions!O12)</f>
        <v>1.2230000000000001</v>
      </c>
      <c r="H6" s="499">
        <f>(1-Assumptions!P12)</f>
        <v>1.23</v>
      </c>
      <c r="J6" s="11" t="s">
        <v>355</v>
      </c>
      <c r="K6" s="17">
        <f>N4+0.0045</f>
        <v>4.8499999999999995E-2</v>
      </c>
      <c r="L6" s="21"/>
      <c r="M6" s="11" t="s">
        <v>356</v>
      </c>
      <c r="N6" s="358">
        <v>0.03</v>
      </c>
      <c r="R6" s="17"/>
    </row>
    <row r="7" spans="2:23" x14ac:dyDescent="0.2">
      <c r="B7" s="15" t="s">
        <v>357</v>
      </c>
      <c r="C7" s="275"/>
      <c r="D7" s="140">
        <f>D5*D6</f>
        <v>20028.16916039999</v>
      </c>
      <c r="E7" s="140">
        <f t="shared" ref="E7:H7" si="0">E5*E6</f>
        <v>24010.470355106245</v>
      </c>
      <c r="F7" s="140">
        <f t="shared" si="0"/>
        <v>27378.988535167806</v>
      </c>
      <c r="G7" s="140">
        <f t="shared" si="0"/>
        <v>29753.373762255411</v>
      </c>
      <c r="H7" s="278">
        <f t="shared" si="0"/>
        <v>32384.127312196382</v>
      </c>
      <c r="J7" s="11" t="s">
        <v>358</v>
      </c>
      <c r="K7" s="17">
        <f>N4+N3*N5</f>
        <v>6.3624E-2</v>
      </c>
      <c r="L7" s="21"/>
      <c r="M7" s="13" t="s">
        <v>359</v>
      </c>
      <c r="N7" s="363">
        <v>0.23</v>
      </c>
      <c r="R7" s="17"/>
    </row>
    <row r="8" spans="2:23" x14ac:dyDescent="0.2">
      <c r="B8" s="11"/>
      <c r="H8" s="21"/>
      <c r="J8" s="11"/>
      <c r="L8" s="21"/>
      <c r="R8" s="17"/>
    </row>
    <row r="9" spans="2:23" x14ac:dyDescent="0.2">
      <c r="B9" s="15" t="s">
        <v>357</v>
      </c>
      <c r="C9" s="275"/>
      <c r="D9" s="131">
        <f>D7</f>
        <v>20028.16916039999</v>
      </c>
      <c r="E9" s="131">
        <f t="shared" ref="E9:H9" si="1">E7</f>
        <v>24010.470355106245</v>
      </c>
      <c r="F9" s="131">
        <f t="shared" si="1"/>
        <v>27378.988535167806</v>
      </c>
      <c r="G9" s="131">
        <f t="shared" si="1"/>
        <v>29753.373762255411</v>
      </c>
      <c r="H9" s="132">
        <f t="shared" si="1"/>
        <v>32384.127312196382</v>
      </c>
      <c r="J9" s="13" t="s">
        <v>360</v>
      </c>
      <c r="K9" s="362">
        <f>(K7*L4)+(K6*L3)*(1-N7)</f>
        <v>5.6694542450503135E-2</v>
      </c>
      <c r="L9" s="500"/>
      <c r="R9" s="17"/>
    </row>
    <row r="10" spans="2:23" x14ac:dyDescent="0.2">
      <c r="B10" s="11" t="s">
        <v>49</v>
      </c>
      <c r="D10" s="131">
        <f>'Income Statement'!H18</f>
        <v>15965.098760000001</v>
      </c>
      <c r="E10" s="131">
        <f>'Income Statement'!I18</f>
        <v>16233.85082277</v>
      </c>
      <c r="F10" s="131">
        <f>'Income Statement'!J18</f>
        <v>16749.310603560847</v>
      </c>
      <c r="G10" s="131">
        <f>'Income Statement'!K18</f>
        <v>17570.357904484434</v>
      </c>
      <c r="H10" s="132">
        <f>'Income Statement'!L18</f>
        <v>18305.183086781715</v>
      </c>
    </row>
    <row r="11" spans="2:23" x14ac:dyDescent="0.2">
      <c r="B11" s="11" t="s">
        <v>361</v>
      </c>
      <c r="D11" s="131">
        <f>Calcs!H38</f>
        <v>-576.59086400000524</v>
      </c>
      <c r="E11" s="131">
        <f>Calcs!I38</f>
        <v>1139.6215664840784</v>
      </c>
      <c r="F11" s="131">
        <f>Calcs!J38</f>
        <v>2632.7573081529663</v>
      </c>
      <c r="G11" s="131">
        <f>Calcs!K38</f>
        <v>2740.1699829123318</v>
      </c>
      <c r="H11" s="132">
        <f>Calcs!L38</f>
        <v>660.70129347141119</v>
      </c>
    </row>
    <row r="12" spans="2:23" x14ac:dyDescent="0.2">
      <c r="B12" s="11" t="s">
        <v>362</v>
      </c>
      <c r="D12" s="131">
        <f>Calcs!H15</f>
        <v>-10580.420479999999</v>
      </c>
      <c r="E12" s="131">
        <f>Calcs!I15</f>
        <v>-11192.28224427</v>
      </c>
      <c r="F12" s="131">
        <f>Calcs!J15</f>
        <v>-11628.502266166448</v>
      </c>
      <c r="G12" s="131">
        <f>Calcs!K15</f>
        <v>-12164.093933873839</v>
      </c>
      <c r="H12" s="132">
        <f>Calcs!L15</f>
        <v>-12718.536300556127</v>
      </c>
    </row>
    <row r="13" spans="2:23" x14ac:dyDescent="0.2">
      <c r="B13" s="11" t="s">
        <v>363</v>
      </c>
      <c r="D13" s="131">
        <f>Calcs!H58</f>
        <v>663.65933999998379</v>
      </c>
      <c r="E13" s="131">
        <f>Calcs!I58</f>
        <v>157.27834126501693</v>
      </c>
      <c r="F13" s="131">
        <f>Calcs!J58</f>
        <v>-1001.6941404950339</v>
      </c>
      <c r="G13" s="131">
        <f>Calcs!K58</f>
        <v>-1152.117790347751</v>
      </c>
      <c r="H13" s="132">
        <f>Calcs!L58</f>
        <v>-2252.6772100116068</v>
      </c>
    </row>
    <row r="14" spans="2:23" ht="16" thickBot="1" x14ac:dyDescent="0.25">
      <c r="B14" s="11" t="s">
        <v>364</v>
      </c>
      <c r="D14" s="317">
        <f>Calcs!H59</f>
        <v>9218.3313319999943</v>
      </c>
      <c r="E14" s="317">
        <f>Calcs!I59</f>
        <v>3276.1174303810039</v>
      </c>
      <c r="F14" s="317">
        <f>Calcs!J59</f>
        <v>9215.8968014403363</v>
      </c>
      <c r="G14" s="317">
        <f>Calcs!K59</f>
        <v>6900.0694349900732</v>
      </c>
      <c r="H14" s="318">
        <f>Calcs!L59</f>
        <v>8255.1113370478415</v>
      </c>
      <c r="J14" s="522" t="s">
        <v>365</v>
      </c>
      <c r="K14" s="523"/>
      <c r="M14" s="319">
        <f>C31</f>
        <v>228.75521037803205</v>
      </c>
      <c r="N14" s="17">
        <v>0.02</v>
      </c>
      <c r="O14" s="17">
        <v>2.5000000000000001E-2</v>
      </c>
      <c r="P14" s="17">
        <v>0.03</v>
      </c>
      <c r="Q14" s="17">
        <v>3.5000000000000003E-2</v>
      </c>
      <c r="R14" s="17">
        <v>0.04</v>
      </c>
    </row>
    <row r="15" spans="2:23" x14ac:dyDescent="0.2">
      <c r="B15" s="15" t="s">
        <v>366</v>
      </c>
      <c r="D15" s="140">
        <f>SUM(D9:D14)</f>
        <v>34718.247248399959</v>
      </c>
      <c r="E15" s="140">
        <f t="shared" ref="E15:F15" si="2">SUM(E9:E14)</f>
        <v>33625.05627173635</v>
      </c>
      <c r="F15" s="140">
        <f t="shared" si="2"/>
        <v>43346.75684166047</v>
      </c>
      <c r="G15" s="140">
        <f>SUM(G9:G14)</f>
        <v>43647.759360420656</v>
      </c>
      <c r="H15" s="278">
        <f>SUM(H9:H14)</f>
        <v>44633.90951892962</v>
      </c>
      <c r="J15" s="10" t="s">
        <v>367</v>
      </c>
      <c r="K15" s="306">
        <f>LTM!D9</f>
        <v>31787</v>
      </c>
      <c r="M15" s="17">
        <v>6.5000000000000002E-2</v>
      </c>
      <c r="N15" s="322">
        <v>219.44524714201899</v>
      </c>
      <c r="O15" s="322">
        <v>219.44524714201899</v>
      </c>
      <c r="P15" s="322">
        <v>219.44524714201899</v>
      </c>
      <c r="Q15" s="322">
        <v>219.44524714201899</v>
      </c>
      <c r="R15" s="322">
        <v>219.44524714201899</v>
      </c>
    </row>
    <row r="16" spans="2:23" x14ac:dyDescent="0.2">
      <c r="B16" s="11"/>
      <c r="H16" s="21"/>
      <c r="J16" s="11"/>
      <c r="K16" s="21"/>
      <c r="M16" s="17">
        <v>0.06</v>
      </c>
      <c r="N16" s="322">
        <v>225.001936400392</v>
      </c>
      <c r="O16" s="322">
        <v>225.001936400392</v>
      </c>
      <c r="P16" s="322">
        <v>225.001936400392</v>
      </c>
      <c r="Q16" s="322">
        <v>225.001936400392</v>
      </c>
      <c r="R16" s="322">
        <v>225.001936400392</v>
      </c>
    </row>
    <row r="17" spans="2:18" x14ac:dyDescent="0.2">
      <c r="B17" s="11" t="s">
        <v>368</v>
      </c>
      <c r="C17" s="275"/>
      <c r="H17" s="308">
        <f>K19</f>
        <v>216275.25210014396</v>
      </c>
      <c r="J17" s="11" t="s">
        <v>340</v>
      </c>
      <c r="K17" s="501">
        <f>Comps!U22</f>
        <v>6.8038900210823279</v>
      </c>
      <c r="M17" s="17">
        <v>5.6800000000000003E-2</v>
      </c>
      <c r="N17" s="322">
        <v>228.63446782980424</v>
      </c>
      <c r="O17" s="322">
        <v>228.63446782980424</v>
      </c>
      <c r="P17" s="322">
        <v>228.63446782980424</v>
      </c>
      <c r="Q17" s="322">
        <v>228.63446782980424</v>
      </c>
      <c r="R17" s="322">
        <v>228.63446782980424</v>
      </c>
    </row>
    <row r="18" spans="2:18" x14ac:dyDescent="0.2">
      <c r="B18" s="11" t="s">
        <v>356</v>
      </c>
      <c r="H18" s="277">
        <f>N6</f>
        <v>0.03</v>
      </c>
      <c r="J18" s="11"/>
      <c r="K18" s="21"/>
      <c r="M18" s="17">
        <v>0.05</v>
      </c>
      <c r="N18" s="322">
        <v>236.55753499570091</v>
      </c>
      <c r="O18" s="322">
        <v>236.55753499570091</v>
      </c>
      <c r="P18" s="322">
        <v>236.55753499570091</v>
      </c>
      <c r="Q18" s="322">
        <v>236.55753499570091</v>
      </c>
      <c r="R18" s="322">
        <v>236.55753499570091</v>
      </c>
    </row>
    <row r="19" spans="2:18" x14ac:dyDescent="0.2">
      <c r="B19" s="11" t="s">
        <v>369</v>
      </c>
      <c r="H19" s="277">
        <f>K9</f>
        <v>5.6694542450503135E-2</v>
      </c>
      <c r="J19" s="14" t="s">
        <v>370</v>
      </c>
      <c r="K19" s="307">
        <f>K15*K17</f>
        <v>216275.25210014396</v>
      </c>
      <c r="M19" s="17">
        <v>4.4999999999999998E-2</v>
      </c>
      <c r="N19" s="322">
        <v>242.56597112503709</v>
      </c>
      <c r="O19" s="322">
        <v>242.56597112503709</v>
      </c>
      <c r="P19" s="322">
        <v>242.56597112503709</v>
      </c>
      <c r="Q19" s="322">
        <v>242.56597112503709</v>
      </c>
      <c r="R19" s="322">
        <v>242.56597112503709</v>
      </c>
    </row>
    <row r="20" spans="2:18" x14ac:dyDescent="0.2">
      <c r="B20" s="11" t="s">
        <v>371</v>
      </c>
      <c r="C20" s="275"/>
      <c r="D20" s="131">
        <f>D15</f>
        <v>34718.247248399959</v>
      </c>
      <c r="E20" s="131">
        <f>E15</f>
        <v>33625.05627173635</v>
      </c>
      <c r="F20" s="131">
        <f>F15</f>
        <v>43346.75684166047</v>
      </c>
      <c r="G20" s="131">
        <f>G15</f>
        <v>43647.759360420656</v>
      </c>
      <c r="H20" s="278">
        <f>H15+H17</f>
        <v>260909.16161907359</v>
      </c>
      <c r="I20" s="502"/>
    </row>
    <row r="21" spans="2:18" ht="16" thickBot="1" x14ac:dyDescent="0.25">
      <c r="B21" s="11" t="s">
        <v>372</v>
      </c>
      <c r="D21" s="503">
        <f>1/(1+$K$9)^1</f>
        <v>0.946347274285124</v>
      </c>
      <c r="E21" s="503">
        <f>1/(1+$K$9)^2</f>
        <v>0.89557316354688365</v>
      </c>
      <c r="F21" s="503">
        <f>1/(1+$K$9)^3</f>
        <v>0.84752322224549903</v>
      </c>
      <c r="G21" s="503">
        <f>1/(1+$K$9)^4</f>
        <v>0.80205129126537333</v>
      </c>
      <c r="H21" s="504">
        <f>1/(1+$K$9)^5</f>
        <v>0.75901905332585018</v>
      </c>
    </row>
    <row r="22" spans="2:18" x14ac:dyDescent="0.2">
      <c r="B22" s="505" t="s">
        <v>373</v>
      </c>
      <c r="C22" s="275"/>
      <c r="D22" s="140">
        <f>D21*D20</f>
        <v>32855.518651480306</v>
      </c>
      <c r="E22" s="140">
        <f>E21*E20</f>
        <v>30113.698019720905</v>
      </c>
      <c r="F22" s="140">
        <f>F21*F20</f>
        <v>36737.383032336213</v>
      </c>
      <c r="G22" s="140">
        <f>G21*G20</f>
        <v>35007.741755865674</v>
      </c>
      <c r="H22" s="278">
        <f>H21*H20</f>
        <v>198035.02485615047</v>
      </c>
    </row>
    <row r="23" spans="2:18" x14ac:dyDescent="0.2">
      <c r="B23" s="376"/>
      <c r="C23" s="491"/>
      <c r="D23" s="491"/>
      <c r="E23" s="491"/>
      <c r="F23" s="491"/>
      <c r="G23" s="491"/>
      <c r="H23" s="506"/>
    </row>
    <row r="25" spans="2:18" x14ac:dyDescent="0.2">
      <c r="B25" s="524" t="s">
        <v>374</v>
      </c>
      <c r="C25" s="525"/>
      <c r="D25" s="313"/>
      <c r="E25" s="313"/>
      <c r="F25" s="313"/>
      <c r="G25" s="313"/>
      <c r="H25" s="314"/>
    </row>
    <row r="26" spans="2:18" x14ac:dyDescent="0.2">
      <c r="B26" s="11" t="s">
        <v>333</v>
      </c>
      <c r="C26" s="320">
        <f>SUM(D22:H22)</f>
        <v>332749.36631555355</v>
      </c>
      <c r="D26" s="507"/>
      <c r="E26" s="507"/>
      <c r="F26" s="403"/>
      <c r="G26" s="403"/>
      <c r="H26" s="508"/>
    </row>
    <row r="27" spans="2:18" x14ac:dyDescent="0.2">
      <c r="B27" s="11" t="s">
        <v>375</v>
      </c>
      <c r="C27" s="287">
        <f>'Balance Sheet'!G5</f>
        <v>5598</v>
      </c>
      <c r="H27" s="509"/>
    </row>
    <row r="28" spans="2:18" x14ac:dyDescent="0.2">
      <c r="B28" s="11" t="s">
        <v>376</v>
      </c>
      <c r="C28" s="95">
        <f>K3</f>
        <v>86282</v>
      </c>
      <c r="D28" s="510"/>
      <c r="E28" s="510"/>
      <c r="F28" s="510"/>
      <c r="G28" s="510"/>
      <c r="H28" s="510"/>
    </row>
    <row r="29" spans="2:18" x14ac:dyDescent="0.2">
      <c r="B29" s="11" t="s">
        <v>377</v>
      </c>
      <c r="C29" s="320">
        <f>C26+C27-C28</f>
        <v>252065.36631555355</v>
      </c>
      <c r="D29" s="510"/>
      <c r="E29" s="510"/>
      <c r="F29" s="510"/>
      <c r="G29" s="510"/>
      <c r="H29" s="510"/>
    </row>
    <row r="30" spans="2:18" x14ac:dyDescent="0.2">
      <c r="B30" s="11" t="s">
        <v>378</v>
      </c>
      <c r="C30" s="279">
        <f>Comps!C7</f>
        <v>1101.9000000000001</v>
      </c>
      <c r="D30" s="315"/>
      <c r="E30" s="316"/>
      <c r="F30" s="316"/>
      <c r="G30" s="316"/>
      <c r="H30" s="316"/>
    </row>
    <row r="31" spans="2:18" x14ac:dyDescent="0.2">
      <c r="B31" s="11" t="s">
        <v>379</v>
      </c>
      <c r="C31" s="320">
        <f>C29/C30</f>
        <v>228.75521037803205</v>
      </c>
    </row>
    <row r="32" spans="2:18" x14ac:dyDescent="0.2">
      <c r="B32" s="11" t="s">
        <v>380</v>
      </c>
      <c r="C32" s="279">
        <f>Comps!C5</f>
        <v>218.65</v>
      </c>
    </row>
    <row r="33" spans="2:3" x14ac:dyDescent="0.2">
      <c r="B33" s="511" t="s">
        <v>381</v>
      </c>
      <c r="C33" s="512">
        <f>(C31-C32)/C32</f>
        <v>4.6216374928113611E-2</v>
      </c>
    </row>
  </sheetData>
  <conditionalFormatting sqref="N15:R19">
    <cfRule type="colorScale" priority="1">
      <colorScale>
        <cfvo type="min"/>
        <cfvo type="percentile" val="50"/>
        <cfvo type="max"/>
        <color rgb="FFF8696B"/>
        <color rgb="FFFFEB84"/>
        <color rgb="FF63BE7B"/>
      </colorScale>
    </cfRule>
  </conditionalFormatting>
  <conditionalFormatting sqref="S5:W9">
    <cfRule type="colorScale" priority="2">
      <colorScale>
        <cfvo type="min"/>
        <cfvo type="percentile" val="50"/>
        <cfvo type="max"/>
        <color rgb="FFF8696B"/>
        <color rgb="FFFFEB84"/>
        <color rgb="FF63BE7B"/>
      </colorScale>
    </cfRule>
  </conditionalFormatting>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5d0295aa-9586-4220-b3aa-d05526a9458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C10B4D559310F4DB05C5A46A81E9B38" ma:contentTypeVersion="5" ma:contentTypeDescription="Create a new document." ma:contentTypeScope="" ma:versionID="4265059f1843b94467e5a1241fd42f0b">
  <xsd:schema xmlns:xsd="http://www.w3.org/2001/XMLSchema" xmlns:xs="http://www.w3.org/2001/XMLSchema" xmlns:p="http://schemas.microsoft.com/office/2006/metadata/properties" xmlns:ns3="5d0295aa-9586-4220-b3aa-d05526a94589" targetNamespace="http://schemas.microsoft.com/office/2006/metadata/properties" ma:root="true" ma:fieldsID="59b327be367f870b2f155a2f9e23e9dc" ns3:_="">
    <xsd:import namespace="5d0295aa-9586-4220-b3aa-d05526a94589"/>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0295aa-9586-4220-b3aa-d05526a94589"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AC952E9-76A7-4C33-8C5B-B9EE83877A4C}">
  <ds:schemaRefs>
    <ds:schemaRef ds:uri="http://schemas.microsoft.com/office/2006/documentManagement/types"/>
    <ds:schemaRef ds:uri="http://purl.org/dc/elements/1.1/"/>
    <ds:schemaRef ds:uri="http://purl.org/dc/dcmitype/"/>
    <ds:schemaRef ds:uri="http://www.w3.org/XML/1998/namespace"/>
    <ds:schemaRef ds:uri="http://purl.org/dc/terms/"/>
    <ds:schemaRef ds:uri="http://schemas.openxmlformats.org/package/2006/metadata/core-properties"/>
    <ds:schemaRef ds:uri="http://schemas.microsoft.com/office/infopath/2007/PartnerControls"/>
    <ds:schemaRef ds:uri="5d0295aa-9586-4220-b3aa-d05526a94589"/>
    <ds:schemaRef ds:uri="http://schemas.microsoft.com/office/2006/metadata/properties"/>
  </ds:schemaRefs>
</ds:datastoreItem>
</file>

<file path=customXml/itemProps2.xml><?xml version="1.0" encoding="utf-8"?>
<ds:datastoreItem xmlns:ds="http://schemas.openxmlformats.org/officeDocument/2006/customXml" ds:itemID="{739AE6D2-2616-495A-A266-7B6C6C66C55E}">
  <ds:schemaRefs>
    <ds:schemaRef ds:uri="http://schemas.microsoft.com/sharepoint/v3/contenttype/forms"/>
  </ds:schemaRefs>
</ds:datastoreItem>
</file>

<file path=customXml/itemProps3.xml><?xml version="1.0" encoding="utf-8"?>
<ds:datastoreItem xmlns:ds="http://schemas.openxmlformats.org/officeDocument/2006/customXml" ds:itemID="{298CB7B0-5A3B-47FC-A2C1-4D52A2D578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0295aa-9586-4220-b3aa-d05526a945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Cover</vt:lpstr>
      <vt:lpstr>Income Statement</vt:lpstr>
      <vt:lpstr>Debt Schedule</vt:lpstr>
      <vt:lpstr>Balance Sheet</vt:lpstr>
      <vt:lpstr>Cashflow Statement</vt:lpstr>
      <vt:lpstr>Calcs</vt:lpstr>
      <vt:lpstr>Assumptions</vt:lpstr>
      <vt:lpstr>LTM</vt:lpstr>
      <vt:lpstr>Comps</vt:lpstr>
      <vt:lpstr>DCF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Jayson Soza</dc:creator>
  <cp:keywords/>
  <dc:description/>
  <cp:lastModifiedBy>Karishma Shah</cp:lastModifiedBy>
  <cp:revision/>
  <dcterms:created xsi:type="dcterms:W3CDTF">2026-02-20T01:23:17Z</dcterms:created>
  <dcterms:modified xsi:type="dcterms:W3CDTF">2026-09-26T23:16:00Z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0x0101004C10B4D559310F4DB05C5A46A81E9B38</vt:lpwstr>
  </property>
</Properties>
</file>