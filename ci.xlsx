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karisp/Desktop/"/>
    </mc:Choice>
  </mc:AlternateContent>
  <xr:revisionPtr revIDLastSave="0" documentId="8_{ED45381A-B8C1-3349-838D-A97581E00140}" xr6:coauthVersionLast="47" xr6:coauthVersionMax="47" xr10:uidLastSave="{00000000-0000-0000-0000-000000000000}"/>
  <bookViews>
    <workbookView xWindow="0" yWindow="660" windowWidth="23260" windowHeight="13900" activeTab="3" xr2:uid="{4ADFA0EE-67D9-4387-86FE-BB6455DCBC1D}"/>
  </bookViews>
  <sheets>
    <sheet name="Cover" sheetId="3" r:id="rId1"/>
    <sheet name="Assumptions" sheetId="4" r:id="rId2"/>
    <sheet name="Income Statement" sheetId="1" r:id="rId3"/>
    <sheet name="Balance Sheet" sheetId="2" r:id="rId4"/>
    <sheet name="Cash Flow Statement" sheetId="14" r:id="rId5"/>
    <sheet name="Calcs" sheetId="5" r:id="rId6"/>
    <sheet name="Debt Schedule" sheetId="6" r:id="rId7"/>
    <sheet name="LTMS" sheetId="9" r:id="rId8"/>
    <sheet name="Comps" sheetId="10" r:id="rId9"/>
    <sheet name="WACC" sheetId="12" r:id="rId10"/>
    <sheet name="DCF" sheetId="11" r:id="rId11"/>
    <sheet name="Summary" sheetId="13" r:id="rId12"/>
  </sheets>
  <calcPr calcId="191028" calcMode="manual"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3" l="1"/>
  <c r="I27" i="2" l="1"/>
  <c r="G13" i="11"/>
  <c r="F13" i="11"/>
  <c r="E13" i="11"/>
  <c r="D13" i="11"/>
  <c r="C13" i="11"/>
  <c r="G50" i="1"/>
  <c r="F249" i="6" l="1"/>
  <c r="F248" i="6"/>
  <c r="J249" i="6" s="1"/>
  <c r="F250" i="6" l="1"/>
  <c r="G248" i="6" s="1"/>
  <c r="H249" i="6"/>
  <c r="G249" i="6"/>
  <c r="I249" i="6"/>
  <c r="G42" i="2"/>
  <c r="L41" i="2"/>
  <c r="K41" i="2"/>
  <c r="J41" i="2"/>
  <c r="G41" i="2"/>
  <c r="L40" i="2"/>
  <c r="K40" i="2"/>
  <c r="J40" i="2"/>
  <c r="G40" i="2"/>
  <c r="G44" i="2"/>
  <c r="L39" i="2"/>
  <c r="K39" i="2"/>
  <c r="J39" i="2"/>
  <c r="G39" i="2"/>
  <c r="K42" i="2"/>
  <c r="L42" i="2"/>
  <c r="G29" i="2"/>
  <c r="F15" i="5"/>
  <c r="G15" i="5"/>
  <c r="E15" i="5"/>
  <c r="G18" i="5"/>
  <c r="G250" i="6" l="1"/>
  <c r="H248" i="6" s="1"/>
  <c r="H250" i="6" s="1"/>
  <c r="I248" i="6" s="1"/>
  <c r="I250" i="6" s="1"/>
  <c r="J248" i="6" s="1"/>
  <c r="J250" i="6" s="1"/>
  <c r="C72" i="14"/>
  <c r="D70" i="14" s="1"/>
  <c r="E11" i="14"/>
  <c r="F11" i="14"/>
  <c r="G11" i="14"/>
  <c r="H11" i="14"/>
  <c r="D11" i="14"/>
  <c r="D23" i="5"/>
  <c r="E23" i="5"/>
  <c r="F23" i="5"/>
  <c r="G23" i="5"/>
  <c r="C23" i="5"/>
  <c r="D64" i="4" l="1"/>
  <c r="E64" i="4"/>
  <c r="F64" i="4"/>
  <c r="G64" i="4"/>
  <c r="C64" i="4"/>
  <c r="D76" i="4" l="1"/>
  <c r="E76" i="4"/>
  <c r="F76" i="4"/>
  <c r="G76" i="4"/>
  <c r="C76" i="4"/>
  <c r="D63" i="4"/>
  <c r="E63" i="4"/>
  <c r="F63" i="4"/>
  <c r="G63" i="4"/>
  <c r="C63" i="4"/>
  <c r="D74" i="4"/>
  <c r="E74" i="4"/>
  <c r="F74" i="4"/>
  <c r="G74" i="4"/>
  <c r="C74" i="4"/>
  <c r="D15" i="5"/>
  <c r="C15" i="5"/>
  <c r="C8" i="3"/>
  <c r="C9" i="3"/>
  <c r="C10" i="3"/>
  <c r="C11" i="3"/>
  <c r="C13" i="3"/>
  <c r="C14" i="3"/>
  <c r="C15" i="3"/>
  <c r="C16" i="3"/>
  <c r="C17" i="3"/>
  <c r="AK20" i="11"/>
  <c r="R47" i="11"/>
  <c r="Q47" i="11" s="1"/>
  <c r="U47" i="11"/>
  <c r="T47" i="11"/>
  <c r="P51" i="11"/>
  <c r="P52" i="11" s="1"/>
  <c r="N38" i="4" a="1"/>
  <c r="N38" i="4" s="1"/>
  <c r="L21" i="4" a="1"/>
  <c r="L21" i="4" s="1"/>
  <c r="M21" i="4" a="1"/>
  <c r="M21" i="4" s="1"/>
  <c r="N21" i="4" a="1"/>
  <c r="N21" i="4" s="1"/>
  <c r="O21" i="4" a="1"/>
  <c r="O21" i="4" s="1"/>
  <c r="P21" i="4" a="1"/>
  <c r="P21" i="4" s="1"/>
  <c r="F6" i="6"/>
  <c r="F7" i="6"/>
  <c r="F12" i="11"/>
  <c r="G12" i="11"/>
  <c r="F15" i="11"/>
  <c r="G15" i="11"/>
  <c r="L20" i="11"/>
  <c r="L21" i="11"/>
  <c r="J28" i="11"/>
  <c r="K28" i="11" s="1"/>
  <c r="F32" i="11"/>
  <c r="F33" i="11" s="1"/>
  <c r="C34" i="11"/>
  <c r="Y21" i="11"/>
  <c r="F8" i="6" l="1"/>
  <c r="H29" i="2" s="1"/>
  <c r="D31" i="14" s="1"/>
  <c r="P49" i="11"/>
  <c r="P48" i="11" s="1"/>
  <c r="H28" i="11"/>
  <c r="G28" i="11" s="1"/>
  <c r="F30" i="11"/>
  <c r="F29" i="11" s="1"/>
  <c r="E31" i="13" l="1"/>
  <c r="E30" i="13"/>
  <c r="E36" i="13"/>
  <c r="Q15" i="11"/>
  <c r="R15" i="11"/>
  <c r="S15" i="11"/>
  <c r="T15" i="11"/>
  <c r="P15" i="11"/>
  <c r="P14" i="11"/>
  <c r="E10" i="13"/>
  <c r="Y39" i="11"/>
  <c r="C32" i="11" s="1"/>
  <c r="Y31" i="11"/>
  <c r="Y30" i="11"/>
  <c r="Y22" i="11"/>
  <c r="E262" i="6"/>
  <c r="G53" i="4" s="1"/>
  <c r="C16" i="5"/>
  <c r="D13" i="5" s="1"/>
  <c r="Q10" i="11"/>
  <c r="R10" i="11" s="1"/>
  <c r="S10" i="11" s="1"/>
  <c r="T10" i="11" s="1"/>
  <c r="U10" i="11" s="1"/>
  <c r="V10" i="11" s="1"/>
  <c r="W10" i="11" s="1"/>
  <c r="X10" i="11" s="1"/>
  <c r="Y10" i="11" s="1"/>
  <c r="P11" i="11"/>
  <c r="Q11" i="11"/>
  <c r="R11" i="11"/>
  <c r="S11" i="11"/>
  <c r="T11" i="11"/>
  <c r="U11" i="11"/>
  <c r="V11" i="11"/>
  <c r="W11" i="11"/>
  <c r="X11" i="11"/>
  <c r="Y11" i="11"/>
  <c r="C40" i="11"/>
  <c r="E26" i="12"/>
  <c r="D26" i="12"/>
  <c r="C26" i="12"/>
  <c r="C5" i="12"/>
  <c r="D25" i="12"/>
  <c r="E25" i="12"/>
  <c r="C25" i="12"/>
  <c r="C8" i="12"/>
  <c r="D10" i="11"/>
  <c r="E10" i="11" s="1"/>
  <c r="F10" i="11" s="1"/>
  <c r="G10" i="11" s="1"/>
  <c r="H10" i="11" s="1"/>
  <c r="I10" i="11" s="1"/>
  <c r="J10" i="11" s="1"/>
  <c r="K10" i="11" s="1"/>
  <c r="L10" i="11" s="1"/>
  <c r="D15" i="11"/>
  <c r="E15" i="11"/>
  <c r="C15" i="11"/>
  <c r="C14" i="11"/>
  <c r="D12" i="11"/>
  <c r="E12" i="11"/>
  <c r="C12" i="11"/>
  <c r="D7" i="11"/>
  <c r="E7" i="11"/>
  <c r="F7" i="11"/>
  <c r="G7" i="11"/>
  <c r="C7" i="11"/>
  <c r="D5" i="11"/>
  <c r="E5" i="11"/>
  <c r="F5" i="11"/>
  <c r="G5" i="11"/>
  <c r="C60" i="4"/>
  <c r="C5" i="11"/>
  <c r="D3" i="11"/>
  <c r="E3" i="11" s="1"/>
  <c r="F3" i="11" s="1"/>
  <c r="G3" i="11" s="1"/>
  <c r="H3" i="11" s="1"/>
  <c r="I3" i="11" s="1"/>
  <c r="J3" i="11" s="1"/>
  <c r="K3" i="11" s="1"/>
  <c r="L3" i="11" s="1"/>
  <c r="B5" i="12"/>
  <c r="P11" i="12"/>
  <c r="F5" i="12"/>
  <c r="P4" i="12"/>
  <c r="P3" i="12"/>
  <c r="P5" i="12" s="1"/>
  <c r="G5" i="12" s="1"/>
  <c r="I29" i="2"/>
  <c r="E31" i="14" s="1"/>
  <c r="J29" i="2"/>
  <c r="K29" i="2"/>
  <c r="L29" i="2"/>
  <c r="G30" i="2"/>
  <c r="E261" i="6"/>
  <c r="H31" i="14" l="1"/>
  <c r="F31" i="14"/>
  <c r="G31" i="14"/>
  <c r="AK18" i="11"/>
  <c r="Y32" i="11"/>
  <c r="I5" i="12"/>
  <c r="C29" i="11" l="1"/>
  <c r="AK15" i="11"/>
  <c r="F14" i="6"/>
  <c r="F16" i="6" s="1"/>
  <c r="D27" i="12"/>
  <c r="D28" i="12" s="1"/>
  <c r="D29" i="12" s="1"/>
  <c r="E27" i="12"/>
  <c r="E28" i="12" s="1"/>
  <c r="E29" i="12" s="1"/>
  <c r="C27" i="12"/>
  <c r="C28" i="12" s="1"/>
  <c r="C29" i="12" s="1"/>
  <c r="E263" i="6"/>
  <c r="L8" i="10"/>
  <c r="K8" i="10"/>
  <c r="I7" i="10"/>
  <c r="I8" i="10"/>
  <c r="J8" i="10"/>
  <c r="J6" i="10"/>
  <c r="M8" i="10"/>
  <c r="K7" i="10"/>
  <c r="L7" i="10"/>
  <c r="M7" i="10"/>
  <c r="M5" i="10"/>
  <c r="M9" i="10"/>
  <c r="L9" i="10"/>
  <c r="K9" i="10"/>
  <c r="J9" i="10"/>
  <c r="I9" i="10"/>
  <c r="H5" i="10"/>
  <c r="J5" i="10" s="1"/>
  <c r="G5" i="10"/>
  <c r="M24" i="9"/>
  <c r="M23" i="9"/>
  <c r="M22" i="9"/>
  <c r="M21" i="9"/>
  <c r="M25" i="9"/>
  <c r="M10" i="10"/>
  <c r="M6" i="10"/>
  <c r="G8" i="10"/>
  <c r="H8" i="10" s="1"/>
  <c r="G10" i="10"/>
  <c r="I6" i="10"/>
  <c r="N35" i="9"/>
  <c r="G9" i="10" s="1"/>
  <c r="H9" i="10" s="1"/>
  <c r="H6" i="10"/>
  <c r="G6" i="10"/>
  <c r="G7" i="10"/>
  <c r="N34" i="9"/>
  <c r="I34" i="9"/>
  <c r="I38" i="9"/>
  <c r="J7" i="10"/>
  <c r="H7" i="10"/>
  <c r="C26" i="9"/>
  <c r="F10" i="10"/>
  <c r="H10" i="10" s="1"/>
  <c r="N36" i="9"/>
  <c r="M12" i="10"/>
  <c r="F38" i="9"/>
  <c r="C38" i="9"/>
  <c r="I26" i="9"/>
  <c r="F26" i="9"/>
  <c r="C22" i="9"/>
  <c r="C34" i="9"/>
  <c r="F34" i="9"/>
  <c r="M19" i="9"/>
  <c r="M4" i="10"/>
  <c r="I22" i="9"/>
  <c r="N31" i="9"/>
  <c r="O31" i="9"/>
  <c r="F22" i="9"/>
  <c r="F5" i="10"/>
  <c r="F6" i="10"/>
  <c r="F7" i="10"/>
  <c r="F8" i="10"/>
  <c r="F9" i="10"/>
  <c r="F4" i="10"/>
  <c r="E37" i="13" s="1"/>
  <c r="C14" i="9"/>
  <c r="C10" i="9"/>
  <c r="D50" i="5"/>
  <c r="E50" i="5"/>
  <c r="F50" i="5"/>
  <c r="G50" i="5"/>
  <c r="C50" i="5"/>
  <c r="D51" i="5"/>
  <c r="E51" i="5"/>
  <c r="F51" i="5"/>
  <c r="G51" i="5"/>
  <c r="C51" i="5"/>
  <c r="D49" i="5"/>
  <c r="E49" i="5"/>
  <c r="F49" i="5"/>
  <c r="G49" i="5"/>
  <c r="C49" i="5"/>
  <c r="D32" i="5"/>
  <c r="E32" i="5"/>
  <c r="F32" i="5"/>
  <c r="G32" i="5"/>
  <c r="C32" i="5"/>
  <c r="D29" i="5"/>
  <c r="E29" i="5"/>
  <c r="F29" i="5"/>
  <c r="G29" i="5"/>
  <c r="C29" i="5"/>
  <c r="D28" i="5"/>
  <c r="E28" i="5"/>
  <c r="F28" i="5"/>
  <c r="G28" i="5"/>
  <c r="C28" i="5"/>
  <c r="D48" i="5"/>
  <c r="E48" i="5"/>
  <c r="F48" i="5"/>
  <c r="G48" i="5"/>
  <c r="C48" i="5"/>
  <c r="D47" i="5"/>
  <c r="E47" i="5"/>
  <c r="F47" i="5"/>
  <c r="G47" i="5"/>
  <c r="C47" i="5"/>
  <c r="D43" i="5"/>
  <c r="E43" i="5"/>
  <c r="F43" i="5"/>
  <c r="G43" i="5"/>
  <c r="C43" i="5"/>
  <c r="D42" i="5"/>
  <c r="E42" i="5"/>
  <c r="F42" i="5"/>
  <c r="G42" i="5"/>
  <c r="C42" i="5"/>
  <c r="D41" i="5"/>
  <c r="E41" i="5"/>
  <c r="F41" i="5"/>
  <c r="G41" i="5"/>
  <c r="C41" i="5"/>
  <c r="D40" i="5"/>
  <c r="E40" i="5"/>
  <c r="F40" i="5"/>
  <c r="G40" i="5"/>
  <c r="C40" i="5"/>
  <c r="D31" i="5"/>
  <c r="E31" i="5"/>
  <c r="F31" i="5"/>
  <c r="G31" i="5"/>
  <c r="C31" i="5"/>
  <c r="D30" i="5"/>
  <c r="E30" i="5"/>
  <c r="F30" i="5"/>
  <c r="G30" i="5"/>
  <c r="C30" i="5"/>
  <c r="D24" i="5"/>
  <c r="E24" i="5"/>
  <c r="F24" i="5"/>
  <c r="G24" i="5"/>
  <c r="C24" i="5"/>
  <c r="D22" i="5"/>
  <c r="E22" i="5"/>
  <c r="F22" i="5"/>
  <c r="G22" i="5"/>
  <c r="C22" i="5"/>
  <c r="D21" i="5"/>
  <c r="E21" i="5"/>
  <c r="F21" i="5"/>
  <c r="G21" i="5"/>
  <c r="C21" i="5"/>
  <c r="E27" i="4"/>
  <c r="D66" i="4"/>
  <c r="E66" i="4"/>
  <c r="F66" i="4"/>
  <c r="G66" i="4"/>
  <c r="C66" i="4"/>
  <c r="P44" i="4" a="1"/>
  <c r="P44" i="4" s="1"/>
  <c r="O44" i="4" a="1"/>
  <c r="O44" i="4" s="1"/>
  <c r="N44" i="4" a="1"/>
  <c r="N44" i="4" s="1"/>
  <c r="M44" i="4" a="1"/>
  <c r="M44" i="4" s="1"/>
  <c r="L44" i="4" a="1"/>
  <c r="L44" i="4" s="1"/>
  <c r="L43" i="2"/>
  <c r="G66" i="2"/>
  <c r="F252" i="6"/>
  <c r="F254" i="6" s="1"/>
  <c r="G65" i="2"/>
  <c r="G64" i="2"/>
  <c r="G63" i="2"/>
  <c r="G62" i="2"/>
  <c r="G61" i="2"/>
  <c r="G60" i="2"/>
  <c r="G59" i="2"/>
  <c r="G58" i="2"/>
  <c r="G57" i="2"/>
  <c r="G56" i="2"/>
  <c r="G55" i="2"/>
  <c r="G54" i="2"/>
  <c r="G53" i="2"/>
  <c r="G52" i="2"/>
  <c r="G51" i="2"/>
  <c r="G50" i="2"/>
  <c r="G49" i="2"/>
  <c r="G48" i="2"/>
  <c r="G47" i="2"/>
  <c r="G46" i="2"/>
  <c r="G45" i="2"/>
  <c r="G43" i="2"/>
  <c r="AI42" i="4"/>
  <c r="H19" i="1"/>
  <c r="I19" i="1" s="1"/>
  <c r="J19" i="1" s="1"/>
  <c r="K19" i="1" s="1"/>
  <c r="L19" i="1" s="1"/>
  <c r="H8" i="5"/>
  <c r="I8" i="5" s="1"/>
  <c r="J8" i="5" s="1"/>
  <c r="K8" i="5" s="1"/>
  <c r="L8" i="5" s="1"/>
  <c r="AL42" i="4"/>
  <c r="H30" i="2" l="1"/>
  <c r="D32" i="14" s="1"/>
  <c r="D66" i="14" s="1"/>
  <c r="P40" i="12"/>
  <c r="H66" i="2"/>
  <c r="P39" i="12"/>
  <c r="H5" i="12"/>
  <c r="D5" i="12" s="1"/>
  <c r="C39" i="11" s="1"/>
  <c r="AK13" i="11" s="1"/>
  <c r="H4" i="10"/>
  <c r="I4" i="10" s="1"/>
  <c r="F19" i="6"/>
  <c r="F20" i="6" s="1"/>
  <c r="G14" i="6"/>
  <c r="G16" i="6" s="1"/>
  <c r="F257" i="6"/>
  <c r="F258" i="6" s="1"/>
  <c r="G252" i="6"/>
  <c r="G254" i="6" s="1"/>
  <c r="F11" i="6"/>
  <c r="F12" i="6" s="1"/>
  <c r="M14" i="10"/>
  <c r="I5" i="10"/>
  <c r="K5" i="10"/>
  <c r="L5" i="10"/>
  <c r="L10" i="10"/>
  <c r="K10" i="10"/>
  <c r="I10" i="10"/>
  <c r="J10" i="10"/>
  <c r="K6" i="10"/>
  <c r="L6" i="10"/>
  <c r="G4" i="10"/>
  <c r="M11" i="10"/>
  <c r="M13" i="10"/>
  <c r="G52" i="5"/>
  <c r="F52" i="5"/>
  <c r="C33" i="5"/>
  <c r="G33" i="5"/>
  <c r="N66" i="4"/>
  <c r="L66" i="4"/>
  <c r="M66" i="4"/>
  <c r="O66" i="4"/>
  <c r="P66" i="4"/>
  <c r="F33" i="5"/>
  <c r="E33" i="5"/>
  <c r="D33" i="5"/>
  <c r="E52" i="5"/>
  <c r="D52" i="5"/>
  <c r="C52" i="5"/>
  <c r="D44" i="5"/>
  <c r="D25" i="5"/>
  <c r="F44" i="5"/>
  <c r="E44" i="5"/>
  <c r="F25" i="5"/>
  <c r="G44" i="5"/>
  <c r="C25" i="5"/>
  <c r="C44" i="5"/>
  <c r="G25" i="5"/>
  <c r="E25" i="5"/>
  <c r="G257" i="6"/>
  <c r="G258" i="6" s="1"/>
  <c r="P49" i="4" a="1"/>
  <c r="P49" i="4" s="1"/>
  <c r="O49" i="4" a="1"/>
  <c r="O49" i="4" s="1"/>
  <c r="N49" i="4" a="1"/>
  <c r="N49" i="4" s="1"/>
  <c r="M49" i="4" a="1"/>
  <c r="M49" i="4" s="1"/>
  <c r="P47" i="4" a="1"/>
  <c r="P47" i="4" s="1"/>
  <c r="O47" i="4" a="1"/>
  <c r="O47" i="4" s="1"/>
  <c r="N47" i="4" a="1"/>
  <c r="N47" i="4" s="1"/>
  <c r="M47" i="4" a="1"/>
  <c r="M47" i="4" s="1"/>
  <c r="P45" i="4" a="1"/>
  <c r="P45" i="4" s="1"/>
  <c r="O45" i="4" a="1"/>
  <c r="O45" i="4" s="1"/>
  <c r="N45" i="4" a="1"/>
  <c r="N45" i="4" s="1"/>
  <c r="M45" i="4" a="1"/>
  <c r="M45" i="4" s="1"/>
  <c r="L49" i="4" a="1"/>
  <c r="L49" i="4" s="1"/>
  <c r="L47" i="4" a="1"/>
  <c r="L47" i="4" s="1"/>
  <c r="E5" i="12" s="1"/>
  <c r="L45" i="4" a="1"/>
  <c r="L45" i="4" s="1"/>
  <c r="P42" i="4" a="1"/>
  <c r="P42" i="4" s="1"/>
  <c r="M42" i="4" a="1"/>
  <c r="M42" i="4" s="1"/>
  <c r="P41" i="4" a="1"/>
  <c r="P41" i="4" s="1"/>
  <c r="O41" i="4" a="1"/>
  <c r="O41" i="4" s="1"/>
  <c r="N41" i="4" a="1"/>
  <c r="N41" i="4" s="1"/>
  <c r="M41" i="4" a="1"/>
  <c r="M41" i="4" s="1"/>
  <c r="L41" i="4" a="1"/>
  <c r="L41" i="4" s="1"/>
  <c r="P40" i="4" a="1"/>
  <c r="P40" i="4" s="1"/>
  <c r="O40" i="4" a="1"/>
  <c r="O40" i="4" s="1"/>
  <c r="N40" i="4" a="1"/>
  <c r="N40" i="4" s="1"/>
  <c r="M40" i="4" a="1"/>
  <c r="M40" i="4" s="1"/>
  <c r="L40" i="4" a="1"/>
  <c r="L40" i="4" s="1"/>
  <c r="P39" i="4" a="1"/>
  <c r="P39" i="4" s="1"/>
  <c r="O39" i="4" a="1"/>
  <c r="O39" i="4" s="1"/>
  <c r="N39" i="4" a="1"/>
  <c r="N39" i="4" s="1"/>
  <c r="M39" i="4" a="1"/>
  <c r="M39" i="4" s="1"/>
  <c r="L39" i="4" a="1"/>
  <c r="L39" i="4" s="1"/>
  <c r="P38" i="4" a="1"/>
  <c r="P38" i="4" s="1"/>
  <c r="O38" i="4" a="1"/>
  <c r="O38" i="4" s="1"/>
  <c r="M38" i="4" a="1"/>
  <c r="M38" i="4" s="1"/>
  <c r="L38" i="4" a="1"/>
  <c r="L38" i="4" s="1"/>
  <c r="P35" i="4" a="1"/>
  <c r="P35" i="4" s="1"/>
  <c r="O35" i="4" a="1"/>
  <c r="O35" i="4" s="1"/>
  <c r="N35" i="4" a="1"/>
  <c r="N35" i="4" s="1"/>
  <c r="M35" i="4" a="1"/>
  <c r="M35" i="4" s="1"/>
  <c r="L35" i="4" a="1"/>
  <c r="L35" i="4" s="1"/>
  <c r="H37" i="1" s="1"/>
  <c r="I37" i="1" s="1"/>
  <c r="J37" i="1" s="1"/>
  <c r="P34" i="4" a="1"/>
  <c r="P34" i="4" s="1"/>
  <c r="O34" i="4" a="1"/>
  <c r="O34" i="4" s="1"/>
  <c r="N34" i="4" a="1"/>
  <c r="N34" i="4" s="1"/>
  <c r="M34" i="4" a="1"/>
  <c r="M34" i="4" s="1"/>
  <c r="L34" i="4" a="1"/>
  <c r="L34" i="4" s="1"/>
  <c r="H34" i="1" s="1"/>
  <c r="P31" i="4" a="1"/>
  <c r="P31" i="4" s="1"/>
  <c r="O31" i="4" a="1"/>
  <c r="O31" i="4" s="1"/>
  <c r="N31" i="4" a="1"/>
  <c r="N31" i="4" s="1"/>
  <c r="M31" i="4" a="1"/>
  <c r="M31" i="4" s="1"/>
  <c r="L31" i="4" a="1"/>
  <c r="L31" i="4" s="1"/>
  <c r="H31" i="1" s="1"/>
  <c r="P30" i="4" a="1"/>
  <c r="P30" i="4" s="1"/>
  <c r="O30" i="4" a="1"/>
  <c r="O30" i="4" s="1"/>
  <c r="N30" i="4" a="1"/>
  <c r="N30" i="4" s="1"/>
  <c r="M30" i="4" a="1"/>
  <c r="M30" i="4" s="1"/>
  <c r="L30" i="4" a="1"/>
  <c r="L30" i="4" s="1"/>
  <c r="H30" i="1" s="1"/>
  <c r="P27" i="4" a="1"/>
  <c r="P27" i="4" s="1"/>
  <c r="O27" i="4" a="1"/>
  <c r="O27" i="4" s="1"/>
  <c r="N27" i="4" a="1"/>
  <c r="N27" i="4" s="1"/>
  <c r="M27" i="4" a="1"/>
  <c r="M27" i="4" s="1"/>
  <c r="L27" i="4" a="1"/>
  <c r="L27" i="4" s="1"/>
  <c r="H27" i="1" s="1"/>
  <c r="P25" i="4" a="1"/>
  <c r="P25" i="4" s="1"/>
  <c r="O25" i="4" a="1"/>
  <c r="O25" i="4" s="1"/>
  <c r="N25" i="4" a="1"/>
  <c r="N25" i="4" s="1"/>
  <c r="M25" i="4" a="1"/>
  <c r="M25" i="4" s="1"/>
  <c r="L25" i="4" a="1"/>
  <c r="L25" i="4" s="1"/>
  <c r="H25" i="1" s="1"/>
  <c r="P24" i="4" a="1"/>
  <c r="P24" i="4" s="1"/>
  <c r="O24" i="4" a="1"/>
  <c r="O24" i="4" s="1"/>
  <c r="N24" i="4" a="1"/>
  <c r="N24" i="4" s="1"/>
  <c r="M24" i="4" a="1"/>
  <c r="M24" i="4" s="1"/>
  <c r="L24" i="4" a="1"/>
  <c r="L24" i="4" s="1"/>
  <c r="H24" i="1" s="1"/>
  <c r="P23" i="4" a="1"/>
  <c r="P23" i="4" s="1"/>
  <c r="O23" i="4" a="1"/>
  <c r="O23" i="4" s="1"/>
  <c r="N23" i="4" a="1"/>
  <c r="N23" i="4" s="1"/>
  <c r="M23" i="4" a="1"/>
  <c r="M23" i="4" s="1"/>
  <c r="L23" i="4" a="1"/>
  <c r="L23" i="4" s="1"/>
  <c r="P22" i="4" a="1"/>
  <c r="P22" i="4" s="1"/>
  <c r="O22" i="4" a="1"/>
  <c r="O22" i="4" s="1"/>
  <c r="N22" i="4" a="1"/>
  <c r="N22" i="4" s="1"/>
  <c r="M22" i="4" a="1"/>
  <c r="M22" i="4" s="1"/>
  <c r="L22" i="4" a="1"/>
  <c r="L22" i="4" s="1"/>
  <c r="H22" i="1" s="1"/>
  <c r="H21" i="1"/>
  <c r="P20" i="4" a="1"/>
  <c r="P20" i="4" s="1"/>
  <c r="O20" i="4" a="1"/>
  <c r="O20" i="4" s="1"/>
  <c r="N20" i="4" a="1"/>
  <c r="N20" i="4" s="1"/>
  <c r="M20" i="4" a="1"/>
  <c r="M20" i="4" s="1"/>
  <c r="L20" i="4" a="1"/>
  <c r="L20" i="4" s="1"/>
  <c r="H20" i="1" s="1"/>
  <c r="P17" i="4" a="1"/>
  <c r="P17" i="4" s="1"/>
  <c r="O17" i="4" a="1"/>
  <c r="O17" i="4" s="1"/>
  <c r="N17" i="4" a="1"/>
  <c r="N17" i="4" s="1"/>
  <c r="M17" i="4" a="1"/>
  <c r="M17" i="4" s="1"/>
  <c r="L17" i="4" a="1"/>
  <c r="L17" i="4" s="1"/>
  <c r="H17" i="1" s="1"/>
  <c r="P16" i="4" a="1"/>
  <c r="P16" i="4" s="1"/>
  <c r="O16" i="4" a="1"/>
  <c r="O16" i="4" s="1"/>
  <c r="N16" i="4" a="1"/>
  <c r="N16" i="4" s="1"/>
  <c r="M16" i="4" a="1"/>
  <c r="M16" i="4" s="1"/>
  <c r="L16" i="4" a="1"/>
  <c r="L16" i="4" s="1"/>
  <c r="H16" i="1" s="1"/>
  <c r="P15" i="4" a="1"/>
  <c r="P15" i="4" s="1"/>
  <c r="O15" i="4" a="1"/>
  <c r="O15" i="4" s="1"/>
  <c r="N15" i="4" a="1"/>
  <c r="N15" i="4" s="1"/>
  <c r="M15" i="4" a="1"/>
  <c r="M15" i="4" s="1"/>
  <c r="L15" i="4" a="1"/>
  <c r="L15" i="4" s="1"/>
  <c r="H15" i="1" s="1"/>
  <c r="K16" i="2" l="1"/>
  <c r="H16" i="2"/>
  <c r="D21" i="14" s="1"/>
  <c r="J4" i="10"/>
  <c r="K4" i="10"/>
  <c r="E38" i="13" s="1"/>
  <c r="L4" i="10"/>
  <c r="L12" i="10" s="1"/>
  <c r="I25" i="1"/>
  <c r="I20" i="1"/>
  <c r="J20" i="1" s="1"/>
  <c r="K20" i="1" s="1"/>
  <c r="L20" i="1" s="1"/>
  <c r="Y12" i="11"/>
  <c r="Y13" i="11" s="1"/>
  <c r="P12" i="11"/>
  <c r="P13" i="11" s="1"/>
  <c r="P17" i="11" s="1"/>
  <c r="S12" i="11"/>
  <c r="S13" i="11" s="1"/>
  <c r="U12" i="11"/>
  <c r="U13" i="11" s="1"/>
  <c r="Q12" i="11"/>
  <c r="Q13" i="11" s="1"/>
  <c r="T12" i="11"/>
  <c r="T13" i="11" s="1"/>
  <c r="V12" i="11"/>
  <c r="V13" i="11" s="1"/>
  <c r="X12" i="11"/>
  <c r="X13" i="11" s="1"/>
  <c r="R12" i="11"/>
  <c r="R13" i="11" s="1"/>
  <c r="W12" i="11"/>
  <c r="W13" i="11" s="1"/>
  <c r="H23" i="11"/>
  <c r="J23" i="11"/>
  <c r="I23" i="11"/>
  <c r="K23" i="11"/>
  <c r="L23" i="11"/>
  <c r="Y25" i="11"/>
  <c r="W25" i="11"/>
  <c r="X25" i="11"/>
  <c r="V25" i="11"/>
  <c r="U25" i="11"/>
  <c r="D35" i="5"/>
  <c r="I30" i="2"/>
  <c r="E32" i="14" s="1"/>
  <c r="E66" i="14" s="1"/>
  <c r="H14" i="6"/>
  <c r="H16" i="6" s="1"/>
  <c r="H19" i="6" s="1"/>
  <c r="H20" i="6" s="1"/>
  <c r="G19" i="6"/>
  <c r="G20" i="6" s="1"/>
  <c r="J16" i="2"/>
  <c r="D36" i="5"/>
  <c r="G36" i="5"/>
  <c r="H252" i="6"/>
  <c r="H254" i="6" s="1"/>
  <c r="I66" i="2"/>
  <c r="I11" i="10"/>
  <c r="I12" i="10"/>
  <c r="J12" i="10"/>
  <c r="J11" i="10"/>
  <c r="L11" i="10"/>
  <c r="I13" i="10"/>
  <c r="I14" i="10"/>
  <c r="J13" i="10"/>
  <c r="C41" i="11" s="1"/>
  <c r="AK12" i="11" s="1"/>
  <c r="AK14" i="11" s="1"/>
  <c r="J14" i="10"/>
  <c r="L14" i="10"/>
  <c r="E36" i="5"/>
  <c r="L16" i="2"/>
  <c r="I16" i="2"/>
  <c r="I17" i="1"/>
  <c r="J17" i="1" s="1"/>
  <c r="K17" i="1" s="1"/>
  <c r="L17" i="1" s="1"/>
  <c r="D54" i="5"/>
  <c r="E35" i="5"/>
  <c r="F35" i="5"/>
  <c r="F55" i="5"/>
  <c r="F54" i="5"/>
  <c r="D55" i="5"/>
  <c r="F36" i="5"/>
  <c r="E54" i="5"/>
  <c r="G35" i="5"/>
  <c r="G54" i="5"/>
  <c r="E55" i="5"/>
  <c r="G55" i="5"/>
  <c r="J25" i="1"/>
  <c r="K25" i="1" s="1"/>
  <c r="L25" i="1" s="1"/>
  <c r="I15" i="1"/>
  <c r="J15" i="1" s="1"/>
  <c r="K15" i="1" s="1"/>
  <c r="L15" i="1" s="1"/>
  <c r="I27" i="1"/>
  <c r="J27" i="1" s="1"/>
  <c r="K27" i="1" s="1"/>
  <c r="L27" i="1" s="1"/>
  <c r="I34" i="1"/>
  <c r="J34" i="1" s="1"/>
  <c r="K34" i="1" s="1"/>
  <c r="L34" i="1" s="1"/>
  <c r="I21" i="1"/>
  <c r="J21" i="1" s="1"/>
  <c r="K21" i="1" s="1"/>
  <c r="L21" i="1" s="1"/>
  <c r="I16" i="1"/>
  <c r="J16" i="1" s="1"/>
  <c r="K16" i="1" s="1"/>
  <c r="L16" i="1" s="1"/>
  <c r="I30" i="1"/>
  <c r="J30" i="1" s="1"/>
  <c r="K30" i="1" s="1"/>
  <c r="L30" i="1" s="1"/>
  <c r="I24" i="1"/>
  <c r="J24" i="1" s="1"/>
  <c r="K24" i="1" s="1"/>
  <c r="L24" i="1" s="1"/>
  <c r="K37" i="1"/>
  <c r="L37" i="1" s="1"/>
  <c r="I31" i="1"/>
  <c r="J31" i="1" s="1"/>
  <c r="K31" i="1" s="1"/>
  <c r="L31" i="1" s="1"/>
  <c r="I22" i="1"/>
  <c r="J22" i="1" s="1"/>
  <c r="K22" i="1" s="1"/>
  <c r="L22" i="1" s="1"/>
  <c r="F32" i="6"/>
  <c r="F33" i="6" s="1"/>
  <c r="D16" i="4"/>
  <c r="D15" i="4"/>
  <c r="E270" i="6"/>
  <c r="E272" i="6" s="1"/>
  <c r="L13" i="10" l="1"/>
  <c r="H40" i="5"/>
  <c r="K12" i="10"/>
  <c r="K11" i="10"/>
  <c r="K14" i="10"/>
  <c r="K13" i="10"/>
  <c r="C9" i="12" s="1"/>
  <c r="C10" i="12" s="1"/>
  <c r="L40" i="5"/>
  <c r="H21" i="14"/>
  <c r="E37" i="5"/>
  <c r="R16" i="11" s="1"/>
  <c r="D37" i="5"/>
  <c r="Q16" i="11" s="1"/>
  <c r="I40" i="5"/>
  <c r="E21" i="14"/>
  <c r="J40" i="5"/>
  <c r="F21" i="14"/>
  <c r="K40" i="5"/>
  <c r="G21" i="14"/>
  <c r="F37" i="5"/>
  <c r="D56" i="5"/>
  <c r="J30" i="2"/>
  <c r="F32" i="14" s="1"/>
  <c r="F66" i="14" s="1"/>
  <c r="I14" i="6"/>
  <c r="I16" i="6" s="1"/>
  <c r="G37" i="5"/>
  <c r="H257" i="6"/>
  <c r="H258" i="6" s="1"/>
  <c r="J66" i="2"/>
  <c r="I252" i="6"/>
  <c r="I254" i="6" s="1"/>
  <c r="F56" i="5"/>
  <c r="G56" i="5"/>
  <c r="E56" i="5"/>
  <c r="G33" i="6"/>
  <c r="F240" i="6"/>
  <c r="F232" i="6"/>
  <c r="F224" i="6"/>
  <c r="F216" i="6"/>
  <c r="F208" i="6"/>
  <c r="F200" i="6"/>
  <c r="F192" i="6"/>
  <c r="F184" i="6"/>
  <c r="F176" i="6"/>
  <c r="F168" i="6"/>
  <c r="F160" i="6"/>
  <c r="F152" i="6"/>
  <c r="F144" i="6"/>
  <c r="F136" i="6"/>
  <c r="F128" i="6"/>
  <c r="F120" i="6"/>
  <c r="F112" i="6"/>
  <c r="F104" i="6"/>
  <c r="F96" i="6"/>
  <c r="F88" i="6"/>
  <c r="F80" i="6"/>
  <c r="D16" i="11" l="1"/>
  <c r="E16" i="11"/>
  <c r="F16" i="11"/>
  <c r="S16" i="11"/>
  <c r="T16" i="11"/>
  <c r="G16" i="11"/>
  <c r="K30" i="2"/>
  <c r="G32" i="14" s="1"/>
  <c r="G66" i="14" s="1"/>
  <c r="J14" i="6"/>
  <c r="J16" i="6" s="1"/>
  <c r="L30" i="2" s="1"/>
  <c r="I19" i="6"/>
  <c r="I20" i="6" s="1"/>
  <c r="J252" i="6"/>
  <c r="J254" i="6" s="1"/>
  <c r="L66" i="2" s="1"/>
  <c r="J257" i="6"/>
  <c r="J258" i="6" s="1"/>
  <c r="K66" i="2"/>
  <c r="I257" i="6"/>
  <c r="I258" i="6" s="1"/>
  <c r="H105" i="6"/>
  <c r="F105" i="6"/>
  <c r="F106" i="6" s="1"/>
  <c r="G105" i="6"/>
  <c r="J105" i="6"/>
  <c r="I105" i="6"/>
  <c r="G177" i="6"/>
  <c r="F177" i="6"/>
  <c r="F178" i="6" s="1"/>
  <c r="H177" i="6"/>
  <c r="I177" i="6"/>
  <c r="J177" i="6"/>
  <c r="I113" i="6"/>
  <c r="G113" i="6"/>
  <c r="J113" i="6"/>
  <c r="H113" i="6"/>
  <c r="F113" i="6"/>
  <c r="F114" i="6" s="1"/>
  <c r="J185" i="6"/>
  <c r="G185" i="6"/>
  <c r="H185" i="6"/>
  <c r="F185" i="6"/>
  <c r="F186" i="6" s="1"/>
  <c r="I185" i="6"/>
  <c r="G121" i="6"/>
  <c r="H121" i="6"/>
  <c r="I121" i="6"/>
  <c r="J121" i="6"/>
  <c r="F121" i="6"/>
  <c r="F122" i="6" s="1"/>
  <c r="J193" i="6"/>
  <c r="G193" i="6"/>
  <c r="I193" i="6"/>
  <c r="H193" i="6"/>
  <c r="F193" i="6"/>
  <c r="F194" i="6" s="1"/>
  <c r="I129" i="6"/>
  <c r="G129" i="6"/>
  <c r="H129" i="6"/>
  <c r="F129" i="6"/>
  <c r="F130" i="6" s="1"/>
  <c r="J129" i="6"/>
  <c r="H201" i="6"/>
  <c r="I201" i="6"/>
  <c r="J201" i="6"/>
  <c r="F201" i="6"/>
  <c r="F202" i="6" s="1"/>
  <c r="G201" i="6"/>
  <c r="J137" i="6"/>
  <c r="F137" i="6"/>
  <c r="F138" i="6" s="1"/>
  <c r="I137" i="6"/>
  <c r="G137" i="6"/>
  <c r="H137" i="6"/>
  <c r="F209" i="6"/>
  <c r="G209" i="6"/>
  <c r="I209" i="6"/>
  <c r="H209" i="6"/>
  <c r="J209" i="6"/>
  <c r="H145" i="6"/>
  <c r="G145" i="6"/>
  <c r="I145" i="6"/>
  <c r="J145" i="6"/>
  <c r="F145" i="6"/>
  <c r="F146" i="6" s="1"/>
  <c r="G217" i="6"/>
  <c r="H217" i="6"/>
  <c r="F217" i="6"/>
  <c r="F218" i="6" s="1"/>
  <c r="I217" i="6"/>
  <c r="J217" i="6"/>
  <c r="G153" i="6"/>
  <c r="H153" i="6"/>
  <c r="I153" i="6"/>
  <c r="J153" i="6"/>
  <c r="F153" i="6"/>
  <c r="F154" i="6" s="1"/>
  <c r="I225" i="6"/>
  <c r="J225" i="6"/>
  <c r="H225" i="6"/>
  <c r="F225" i="6"/>
  <c r="F226" i="6" s="1"/>
  <c r="G225" i="6"/>
  <c r="F161" i="6"/>
  <c r="F162" i="6" s="1"/>
  <c r="I161" i="6"/>
  <c r="G161" i="6"/>
  <c r="H161" i="6"/>
  <c r="J161" i="6"/>
  <c r="G233" i="6"/>
  <c r="H233" i="6"/>
  <c r="I233" i="6"/>
  <c r="J233" i="6"/>
  <c r="F233" i="6"/>
  <c r="F234" i="6" s="1"/>
  <c r="H169" i="6"/>
  <c r="I169" i="6"/>
  <c r="G169" i="6"/>
  <c r="J169" i="6"/>
  <c r="F169" i="6"/>
  <c r="F170" i="6" s="1"/>
  <c r="F241" i="6"/>
  <c r="F242" i="6" s="1"/>
  <c r="G241" i="6"/>
  <c r="H241" i="6"/>
  <c r="I241" i="6"/>
  <c r="J241" i="6"/>
  <c r="I81" i="6"/>
  <c r="H81" i="6"/>
  <c r="F81" i="6"/>
  <c r="F82" i="6" s="1"/>
  <c r="G81" i="6"/>
  <c r="J81" i="6"/>
  <c r="H89" i="6"/>
  <c r="I89" i="6"/>
  <c r="G89" i="6"/>
  <c r="J89" i="6"/>
  <c r="F89" i="6"/>
  <c r="F90" i="6" s="1"/>
  <c r="F97" i="6"/>
  <c r="F98" i="6" s="1"/>
  <c r="G97" i="6"/>
  <c r="H97" i="6"/>
  <c r="I97" i="6"/>
  <c r="J97" i="6"/>
  <c r="H55" i="2" l="1"/>
  <c r="P28" i="12"/>
  <c r="H62" i="2"/>
  <c r="P35" i="12"/>
  <c r="H60" i="2"/>
  <c r="P33" i="12"/>
  <c r="H49" i="2"/>
  <c r="P22" i="12"/>
  <c r="H57" i="2"/>
  <c r="P30" i="12"/>
  <c r="F237" i="6"/>
  <c r="F238" i="6" s="1"/>
  <c r="H64" i="2"/>
  <c r="P37" i="12"/>
  <c r="H47" i="2"/>
  <c r="P20" i="12"/>
  <c r="H65" i="2"/>
  <c r="P38" i="12"/>
  <c r="H59" i="2"/>
  <c r="P32" i="12"/>
  <c r="H51" i="2"/>
  <c r="P24" i="12"/>
  <c r="H48" i="2"/>
  <c r="P21" i="12"/>
  <c r="H50" i="2"/>
  <c r="P23" i="12"/>
  <c r="H56" i="2"/>
  <c r="P29" i="12"/>
  <c r="H46" i="2"/>
  <c r="P19" i="12"/>
  <c r="H52" i="2"/>
  <c r="P25" i="12"/>
  <c r="H54" i="2"/>
  <c r="P27" i="12"/>
  <c r="H53" i="2"/>
  <c r="P26" i="12"/>
  <c r="H45" i="2"/>
  <c r="P18" i="12"/>
  <c r="H63" i="2"/>
  <c r="P36" i="12"/>
  <c r="H58" i="2"/>
  <c r="P31" i="12"/>
  <c r="H32" i="14"/>
  <c r="H66" i="14" s="1"/>
  <c r="J19" i="6"/>
  <c r="J20" i="6" s="1"/>
  <c r="F85" i="6"/>
  <c r="F86" i="6" s="1"/>
  <c r="G200" i="6"/>
  <c r="G202" i="6" s="1"/>
  <c r="G205" i="6" s="1"/>
  <c r="G206" i="6" s="1"/>
  <c r="G240" i="6"/>
  <c r="G242" i="6" s="1"/>
  <c r="G245" i="6"/>
  <c r="G246" i="6" s="1"/>
  <c r="F245" i="6"/>
  <c r="F246" i="6" s="1"/>
  <c r="G168" i="6"/>
  <c r="G170" i="6" s="1"/>
  <c r="G173" i="6" s="1"/>
  <c r="G174" i="6" s="1"/>
  <c r="F173" i="6"/>
  <c r="F174" i="6" s="1"/>
  <c r="G216" i="6"/>
  <c r="G218" i="6" s="1"/>
  <c r="F221" i="6"/>
  <c r="F222" i="6" s="1"/>
  <c r="G192" i="6"/>
  <c r="G194" i="6" s="1"/>
  <c r="G197" i="6"/>
  <c r="G198" i="6" s="1"/>
  <c r="F197" i="6"/>
  <c r="F198" i="6" s="1"/>
  <c r="G104" i="6"/>
  <c r="G106" i="6" s="1"/>
  <c r="G109" i="6" s="1"/>
  <c r="G110" i="6" s="1"/>
  <c r="F109" i="6"/>
  <c r="F110" i="6" s="1"/>
  <c r="F133" i="6"/>
  <c r="F134" i="6" s="1"/>
  <c r="G176" i="6"/>
  <c r="G178" i="6" s="1"/>
  <c r="F181" i="6"/>
  <c r="F182" i="6" s="1"/>
  <c r="F101" i="6"/>
  <c r="F102" i="6" s="1"/>
  <c r="G136" i="6"/>
  <c r="G138" i="6" s="1"/>
  <c r="G141" i="6" s="1"/>
  <c r="G142" i="6" s="1"/>
  <c r="F141" i="6"/>
  <c r="F142" i="6" s="1"/>
  <c r="G112" i="6"/>
  <c r="G114" i="6" s="1"/>
  <c r="G224" i="6"/>
  <c r="G226" i="6" s="1"/>
  <c r="G232" i="6"/>
  <c r="G234" i="6" s="1"/>
  <c r="G144" i="6"/>
  <c r="G146" i="6" s="1"/>
  <c r="G149" i="6" s="1"/>
  <c r="G150" i="6" s="1"/>
  <c r="G160" i="6"/>
  <c r="G162" i="6" s="1"/>
  <c r="F165" i="6"/>
  <c r="F166" i="6" s="1"/>
  <c r="F117" i="6"/>
  <c r="F118" i="6" s="1"/>
  <c r="G152" i="6"/>
  <c r="G154" i="6" s="1"/>
  <c r="F157" i="6"/>
  <c r="F158" i="6" s="1"/>
  <c r="G80" i="6"/>
  <c r="G82" i="6" s="1"/>
  <c r="G88" i="6"/>
  <c r="G90" i="6" s="1"/>
  <c r="I46" i="2" s="1"/>
  <c r="G96" i="6"/>
  <c r="G98" i="6" s="1"/>
  <c r="I47" i="2" s="1"/>
  <c r="G120" i="6"/>
  <c r="G122" i="6" s="1"/>
  <c r="I50" i="2" s="1"/>
  <c r="G184" i="6"/>
  <c r="G186" i="6" s="1"/>
  <c r="G128" i="6"/>
  <c r="G130" i="6" s="1"/>
  <c r="F205" i="6"/>
  <c r="F206" i="6" s="1"/>
  <c r="F229" i="6"/>
  <c r="F230" i="6" s="1"/>
  <c r="F189" i="6"/>
  <c r="F190" i="6" s="1"/>
  <c r="F149" i="6"/>
  <c r="F150" i="6" s="1"/>
  <c r="F125" i="6"/>
  <c r="F126" i="6" s="1"/>
  <c r="F93" i="6"/>
  <c r="F94" i="6" s="1"/>
  <c r="G93" i="6" l="1"/>
  <c r="G94" i="6" s="1"/>
  <c r="H216" i="6"/>
  <c r="H218" i="6" s="1"/>
  <c r="H221" i="6" s="1"/>
  <c r="H222" i="6" s="1"/>
  <c r="I62" i="2"/>
  <c r="H168" i="6"/>
  <c r="H170" i="6" s="1"/>
  <c r="H173" i="6" s="1"/>
  <c r="H174" i="6" s="1"/>
  <c r="I56" i="2"/>
  <c r="H104" i="6"/>
  <c r="H106" i="6" s="1"/>
  <c r="H109" i="6" s="1"/>
  <c r="H110" i="6" s="1"/>
  <c r="I48" i="2"/>
  <c r="H240" i="6"/>
  <c r="H242" i="6" s="1"/>
  <c r="I65" i="2"/>
  <c r="H176" i="6"/>
  <c r="H178" i="6" s="1"/>
  <c r="H181" i="6" s="1"/>
  <c r="H182" i="6" s="1"/>
  <c r="I57" i="2"/>
  <c r="H224" i="6"/>
  <c r="H226" i="6" s="1"/>
  <c r="H229" i="6" s="1"/>
  <c r="H230" i="6" s="1"/>
  <c r="I63" i="2"/>
  <c r="H112" i="6"/>
  <c r="H114" i="6" s="1"/>
  <c r="H117" i="6" s="1"/>
  <c r="H118" i="6" s="1"/>
  <c r="I49" i="2"/>
  <c r="H152" i="6"/>
  <c r="H154" i="6" s="1"/>
  <c r="I54" i="2"/>
  <c r="G157" i="6"/>
  <c r="G158" i="6" s="1"/>
  <c r="H136" i="6"/>
  <c r="H138" i="6" s="1"/>
  <c r="H141" i="6" s="1"/>
  <c r="H142" i="6" s="1"/>
  <c r="I52" i="2"/>
  <c r="G117" i="6"/>
  <c r="G118" i="6" s="1"/>
  <c r="H128" i="6"/>
  <c r="H130" i="6" s="1"/>
  <c r="I51" i="2"/>
  <c r="H160" i="6"/>
  <c r="H162" i="6" s="1"/>
  <c r="H165" i="6" s="1"/>
  <c r="H166" i="6" s="1"/>
  <c r="I55" i="2"/>
  <c r="H192" i="6"/>
  <c r="H194" i="6" s="1"/>
  <c r="I59" i="2"/>
  <c r="G165" i="6"/>
  <c r="G166" i="6" s="1"/>
  <c r="H80" i="6"/>
  <c r="H82" i="6" s="1"/>
  <c r="H85" i="6" s="1"/>
  <c r="H86" i="6" s="1"/>
  <c r="I45" i="2"/>
  <c r="G229" i="6"/>
  <c r="G230" i="6" s="1"/>
  <c r="H184" i="6"/>
  <c r="H186" i="6" s="1"/>
  <c r="H189" i="6" s="1"/>
  <c r="H190" i="6" s="1"/>
  <c r="I58" i="2"/>
  <c r="G181" i="6"/>
  <c r="G182" i="6" s="1"/>
  <c r="G221" i="6"/>
  <c r="G222" i="6" s="1"/>
  <c r="H232" i="6"/>
  <c r="H234" i="6" s="1"/>
  <c r="I64" i="2"/>
  <c r="G125" i="6"/>
  <c r="G126" i="6" s="1"/>
  <c r="H144" i="6"/>
  <c r="H146" i="6" s="1"/>
  <c r="H149" i="6" s="1"/>
  <c r="H150" i="6" s="1"/>
  <c r="I53" i="2"/>
  <c r="H200" i="6"/>
  <c r="H202" i="6" s="1"/>
  <c r="H205" i="6" s="1"/>
  <c r="H206" i="6" s="1"/>
  <c r="I60" i="2"/>
  <c r="H96" i="6"/>
  <c r="H98" i="6" s="1"/>
  <c r="J47" i="2" s="1"/>
  <c r="H101" i="6"/>
  <c r="H102" i="6" s="1"/>
  <c r="H88" i="6"/>
  <c r="H90" i="6" s="1"/>
  <c r="J46" i="2" s="1"/>
  <c r="H93" i="6"/>
  <c r="H94" i="6" s="1"/>
  <c r="G85" i="6"/>
  <c r="G86" i="6" s="1"/>
  <c r="G133" i="6"/>
  <c r="G134" i="6" s="1"/>
  <c r="G189" i="6"/>
  <c r="G190" i="6" s="1"/>
  <c r="H120" i="6"/>
  <c r="H122" i="6" s="1"/>
  <c r="J50" i="2" s="1"/>
  <c r="H125" i="6"/>
  <c r="H126" i="6" s="1"/>
  <c r="G101" i="6"/>
  <c r="G102" i="6" s="1"/>
  <c r="G237" i="6"/>
  <c r="G238" i="6" s="1"/>
  <c r="H197" i="6"/>
  <c r="H198" i="6" s="1"/>
  <c r="I128" i="6" l="1"/>
  <c r="I130" i="6" s="1"/>
  <c r="J51" i="2"/>
  <c r="I184" i="6"/>
  <c r="I186" i="6" s="1"/>
  <c r="J58" i="2"/>
  <c r="I232" i="6"/>
  <c r="I234" i="6" s="1"/>
  <c r="J64" i="2"/>
  <c r="I104" i="6"/>
  <c r="I106" i="6" s="1"/>
  <c r="I109" i="6" s="1"/>
  <c r="I110" i="6" s="1"/>
  <c r="J48" i="2"/>
  <c r="I176" i="6"/>
  <c r="I178" i="6" s="1"/>
  <c r="J57" i="2"/>
  <c r="H133" i="6"/>
  <c r="H134" i="6" s="1"/>
  <c r="I152" i="6"/>
  <c r="I154" i="6" s="1"/>
  <c r="I157" i="6" s="1"/>
  <c r="I158" i="6" s="1"/>
  <c r="J54" i="2"/>
  <c r="H157" i="6"/>
  <c r="H158" i="6" s="1"/>
  <c r="I144" i="6"/>
  <c r="I146" i="6" s="1"/>
  <c r="I149" i="6" s="1"/>
  <c r="I150" i="6" s="1"/>
  <c r="J53" i="2"/>
  <c r="I80" i="6"/>
  <c r="I82" i="6" s="1"/>
  <c r="J45" i="2"/>
  <c r="I168" i="6"/>
  <c r="I170" i="6" s="1"/>
  <c r="J56" i="2"/>
  <c r="I173" i="6"/>
  <c r="I174" i="6" s="1"/>
  <c r="I136" i="6"/>
  <c r="I138" i="6" s="1"/>
  <c r="J52" i="2"/>
  <c r="I240" i="6"/>
  <c r="I242" i="6" s="1"/>
  <c r="J65" i="2"/>
  <c r="H245" i="6"/>
  <c r="H246" i="6" s="1"/>
  <c r="I192" i="6"/>
  <c r="I194" i="6" s="1"/>
  <c r="J59" i="2"/>
  <c r="I160" i="6"/>
  <c r="I162" i="6" s="1"/>
  <c r="I165" i="6" s="1"/>
  <c r="I166" i="6" s="1"/>
  <c r="J55" i="2"/>
  <c r="I216" i="6"/>
  <c r="I218" i="6" s="1"/>
  <c r="J62" i="2"/>
  <c r="I200" i="6"/>
  <c r="I202" i="6" s="1"/>
  <c r="J60" i="2"/>
  <c r="I112" i="6"/>
  <c r="I114" i="6" s="1"/>
  <c r="J49" i="2"/>
  <c r="I224" i="6"/>
  <c r="I226" i="6" s="1"/>
  <c r="I229" i="6" s="1"/>
  <c r="I230" i="6" s="1"/>
  <c r="J63" i="2"/>
  <c r="H237" i="6"/>
  <c r="H238" i="6" s="1"/>
  <c r="I88" i="6"/>
  <c r="I90" i="6" s="1"/>
  <c r="K46" i="2" s="1"/>
  <c r="I96" i="6"/>
  <c r="I98" i="6" s="1"/>
  <c r="K47" i="2" s="1"/>
  <c r="I120" i="6"/>
  <c r="I122" i="6" s="1"/>
  <c r="K50" i="2" s="1"/>
  <c r="I189" i="6"/>
  <c r="I190" i="6" s="1"/>
  <c r="I133" i="6"/>
  <c r="I134" i="6" s="1"/>
  <c r="I101" i="6" l="1"/>
  <c r="I102" i="6" s="1"/>
  <c r="I93" i="6"/>
  <c r="I94" i="6" s="1"/>
  <c r="J240" i="6"/>
  <c r="J242" i="6" s="1"/>
  <c r="K65" i="2"/>
  <c r="J176" i="6"/>
  <c r="J178" i="6" s="1"/>
  <c r="L57" i="2" s="1"/>
  <c r="K57" i="2"/>
  <c r="J200" i="6"/>
  <c r="J202" i="6" s="1"/>
  <c r="K60" i="2"/>
  <c r="J112" i="6"/>
  <c r="J114" i="6" s="1"/>
  <c r="L49" i="2" s="1"/>
  <c r="K49" i="2"/>
  <c r="I117" i="6"/>
  <c r="I118" i="6" s="1"/>
  <c r="J168" i="6"/>
  <c r="J170" i="6" s="1"/>
  <c r="L56" i="2" s="1"/>
  <c r="K56" i="2"/>
  <c r="J173" i="6"/>
  <c r="J174" i="6" s="1"/>
  <c r="J160" i="6"/>
  <c r="J162" i="6" s="1"/>
  <c r="L55" i="2" s="1"/>
  <c r="K55" i="2"/>
  <c r="J232" i="6"/>
  <c r="J234" i="6" s="1"/>
  <c r="L64" i="2" s="1"/>
  <c r="K64" i="2"/>
  <c r="J144" i="6"/>
  <c r="J146" i="6" s="1"/>
  <c r="K53" i="2"/>
  <c r="J184" i="6"/>
  <c r="J186" i="6" s="1"/>
  <c r="L58" i="2" s="1"/>
  <c r="K58" i="2"/>
  <c r="I237" i="6"/>
  <c r="I238" i="6" s="1"/>
  <c r="I197" i="6"/>
  <c r="I198" i="6" s="1"/>
  <c r="J128" i="6"/>
  <c r="J130" i="6" s="1"/>
  <c r="K51" i="2"/>
  <c r="J136" i="6"/>
  <c r="J138" i="6" s="1"/>
  <c r="L52" i="2" s="1"/>
  <c r="K52" i="2"/>
  <c r="J216" i="6"/>
  <c r="J218" i="6" s="1"/>
  <c r="K62" i="2"/>
  <c r="I221" i="6"/>
  <c r="I222" i="6" s="1"/>
  <c r="J224" i="6"/>
  <c r="J226" i="6" s="1"/>
  <c r="K63" i="2"/>
  <c r="J152" i="6"/>
  <c r="J154" i="6" s="1"/>
  <c r="L54" i="2" s="1"/>
  <c r="K54" i="2"/>
  <c r="J245" i="6"/>
  <c r="J246" i="6" s="1"/>
  <c r="J104" i="6"/>
  <c r="J106" i="6" s="1"/>
  <c r="L48" i="2" s="1"/>
  <c r="K48" i="2"/>
  <c r="I181" i="6"/>
  <c r="I182" i="6" s="1"/>
  <c r="J80" i="6"/>
  <c r="J82" i="6" s="1"/>
  <c r="L45" i="2" s="1"/>
  <c r="K45" i="2"/>
  <c r="J192" i="6"/>
  <c r="J194" i="6" s="1"/>
  <c r="L59" i="2" s="1"/>
  <c r="K59" i="2"/>
  <c r="I85" i="6"/>
  <c r="I86" i="6" s="1"/>
  <c r="I205" i="6"/>
  <c r="I206" i="6" s="1"/>
  <c r="I141" i="6"/>
  <c r="I142" i="6" s="1"/>
  <c r="I245" i="6"/>
  <c r="I246" i="6" s="1"/>
  <c r="J120" i="6"/>
  <c r="J122" i="6" s="1"/>
  <c r="L50" i="2" s="1"/>
  <c r="J96" i="6"/>
  <c r="J98" i="6" s="1"/>
  <c r="L47" i="2" s="1"/>
  <c r="J88" i="6"/>
  <c r="J90" i="6" s="1"/>
  <c r="I125" i="6"/>
  <c r="I126" i="6" s="1"/>
  <c r="J165" i="6" l="1"/>
  <c r="J166" i="6" s="1"/>
  <c r="J101" i="6"/>
  <c r="J102" i="6" s="1"/>
  <c r="J237" i="6"/>
  <c r="J238" i="6" s="1"/>
  <c r="J141" i="6"/>
  <c r="J142" i="6" s="1"/>
  <c r="J181" i="6"/>
  <c r="J182" i="6" s="1"/>
  <c r="J85" i="6"/>
  <c r="J86" i="6" s="1"/>
  <c r="L60" i="2"/>
  <c r="J205" i="6"/>
  <c r="J206" i="6" s="1"/>
  <c r="L53" i="2"/>
  <c r="J149" i="6"/>
  <c r="J150" i="6" s="1"/>
  <c r="L63" i="2"/>
  <c r="J229" i="6"/>
  <c r="J230" i="6" s="1"/>
  <c r="J93" i="6"/>
  <c r="J94" i="6" s="1"/>
  <c r="L46" i="2"/>
  <c r="L51" i="2"/>
  <c r="J133" i="6"/>
  <c r="J134" i="6" s="1"/>
  <c r="J157" i="6"/>
  <c r="J158" i="6" s="1"/>
  <c r="L62" i="2"/>
  <c r="J221" i="6"/>
  <c r="J222" i="6" s="1"/>
  <c r="J109" i="6"/>
  <c r="J110" i="6" s="1"/>
  <c r="J189" i="6"/>
  <c r="J190" i="6" s="1"/>
  <c r="J125" i="6"/>
  <c r="J126" i="6" s="1"/>
  <c r="J117" i="6"/>
  <c r="J118" i="6" s="1"/>
  <c r="L65" i="2"/>
  <c r="J197" i="6"/>
  <c r="J198" i="6" s="1"/>
  <c r="F72" i="6"/>
  <c r="F64" i="6"/>
  <c r="F56" i="6"/>
  <c r="F48" i="6"/>
  <c r="F40" i="6"/>
  <c r="F34" i="6"/>
  <c r="H39" i="2" l="1"/>
  <c r="P12" i="12"/>
  <c r="F41" i="6"/>
  <c r="F42" i="6" s="1"/>
  <c r="G41" i="6"/>
  <c r="G65" i="6"/>
  <c r="H65" i="6"/>
  <c r="I65" i="6"/>
  <c r="F65" i="6"/>
  <c r="F66" i="6" s="1"/>
  <c r="F73" i="6"/>
  <c r="F74" i="6" s="1"/>
  <c r="J73" i="6"/>
  <c r="G73" i="6"/>
  <c r="H73" i="6"/>
  <c r="I73" i="6"/>
  <c r="G57" i="6"/>
  <c r="H57" i="6"/>
  <c r="F57" i="6"/>
  <c r="F58" i="6" s="1"/>
  <c r="G49" i="6"/>
  <c r="F49" i="6"/>
  <c r="F50" i="6" s="1"/>
  <c r="F37" i="6"/>
  <c r="F38" i="6" s="1"/>
  <c r="G32" i="6"/>
  <c r="G34" i="6" s="1"/>
  <c r="I39" i="2" s="1"/>
  <c r="H42" i="2" l="1"/>
  <c r="P15" i="12"/>
  <c r="H43" i="2"/>
  <c r="P16" i="12"/>
  <c r="H40" i="2"/>
  <c r="P13" i="12"/>
  <c r="H41" i="2"/>
  <c r="P14" i="12"/>
  <c r="H44" i="2"/>
  <c r="P17" i="12"/>
  <c r="G72" i="6"/>
  <c r="G74" i="6" s="1"/>
  <c r="I44" i="2" s="1"/>
  <c r="G64" i="6"/>
  <c r="G66" i="6" s="1"/>
  <c r="F69" i="6"/>
  <c r="F70" i="6" s="1"/>
  <c r="F45" i="6"/>
  <c r="F46" i="6" s="1"/>
  <c r="G40" i="6"/>
  <c r="G42" i="6" s="1"/>
  <c r="I40" i="2" s="1"/>
  <c r="G56" i="6"/>
  <c r="G58" i="6"/>
  <c r="I42" i="2" s="1"/>
  <c r="F53" i="6"/>
  <c r="G48" i="6"/>
  <c r="G50" i="6" s="1"/>
  <c r="I41" i="2" s="1"/>
  <c r="G37" i="6"/>
  <c r="G38" i="6" s="1"/>
  <c r="F77" i="6"/>
  <c r="F78" i="6" s="1"/>
  <c r="F61" i="6"/>
  <c r="F62" i="6" s="1"/>
  <c r="H56" i="6" l="1"/>
  <c r="H58" i="6" s="1"/>
  <c r="J42" i="2" s="1"/>
  <c r="G53" i="6"/>
  <c r="G54" i="6" s="1"/>
  <c r="G45" i="6"/>
  <c r="G46" i="6" s="1"/>
  <c r="H64" i="6"/>
  <c r="H66" i="6" s="1"/>
  <c r="I43" i="2"/>
  <c r="G69" i="6"/>
  <c r="G70" i="6" s="1"/>
  <c r="H72" i="6"/>
  <c r="H74" i="6" s="1"/>
  <c r="J44" i="2" s="1"/>
  <c r="F54" i="6"/>
  <c r="G77" i="6"/>
  <c r="G78" i="6" s="1"/>
  <c r="I72" i="6" l="1"/>
  <c r="I74" i="6" s="1"/>
  <c r="K44" i="2" s="1"/>
  <c r="I64" i="6"/>
  <c r="I66" i="6" s="1"/>
  <c r="K43" i="2" s="1"/>
  <c r="J43" i="2"/>
  <c r="H69" i="6"/>
  <c r="H70" i="6" s="1"/>
  <c r="G61" i="6"/>
  <c r="G62" i="6" s="1"/>
  <c r="J72" i="6" l="1"/>
  <c r="J74" i="6" s="1"/>
  <c r="L44" i="2" s="1"/>
  <c r="H77" i="6"/>
  <c r="H78" i="6" s="1"/>
  <c r="I69" i="6" l="1"/>
  <c r="I70" i="6" s="1"/>
  <c r="H61" i="6"/>
  <c r="H62" i="6" s="1"/>
  <c r="I77" i="6" l="1"/>
  <c r="I78" i="6" s="1"/>
  <c r="J77" i="6" l="1"/>
  <c r="J78" i="6" s="1"/>
  <c r="D91" i="4" l="1"/>
  <c r="E91" i="4"/>
  <c r="F91" i="4"/>
  <c r="G91" i="4"/>
  <c r="L91" i="4" s="1"/>
  <c r="H78" i="2" s="1"/>
  <c r="C91" i="4"/>
  <c r="D85" i="4"/>
  <c r="E85" i="4"/>
  <c r="F85" i="4"/>
  <c r="G85" i="4"/>
  <c r="L85" i="4" s="1"/>
  <c r="H71" i="2" s="1"/>
  <c r="D86" i="4"/>
  <c r="E86" i="4"/>
  <c r="F86" i="4"/>
  <c r="G86" i="4"/>
  <c r="L86" i="4" s="1"/>
  <c r="D87" i="4"/>
  <c r="E87" i="4"/>
  <c r="F87" i="4"/>
  <c r="G87" i="4"/>
  <c r="D88" i="4"/>
  <c r="E88" i="4"/>
  <c r="F88" i="4"/>
  <c r="G88" i="4"/>
  <c r="L88" i="4" s="1"/>
  <c r="H74" i="2" s="1"/>
  <c r="D89" i="4"/>
  <c r="E89" i="4"/>
  <c r="F89" i="4"/>
  <c r="G89" i="4"/>
  <c r="D90" i="4"/>
  <c r="E90" i="4"/>
  <c r="F90" i="4"/>
  <c r="G90" i="4"/>
  <c r="L90" i="4" s="1"/>
  <c r="H76" i="2" s="1"/>
  <c r="C86" i="4"/>
  <c r="C87" i="4"/>
  <c r="C88" i="4"/>
  <c r="C89" i="4"/>
  <c r="C90" i="4"/>
  <c r="C85" i="4"/>
  <c r="L87" i="4" l="1"/>
  <c r="H73" i="2" s="1"/>
  <c r="D14" i="11"/>
  <c r="Q14" i="11"/>
  <c r="Q17" i="11" s="1"/>
  <c r="D16" i="5"/>
  <c r="E13" i="5" s="1"/>
  <c r="M85" i="4"/>
  <c r="M86" i="4"/>
  <c r="H72" i="2"/>
  <c r="M91" i="4"/>
  <c r="M87" i="4"/>
  <c r="M88" i="4"/>
  <c r="M90" i="4"/>
  <c r="J91" i="4"/>
  <c r="J87" i="4"/>
  <c r="I90" i="4"/>
  <c r="I86" i="4"/>
  <c r="I89" i="4"/>
  <c r="J85" i="4"/>
  <c r="I85" i="4"/>
  <c r="J89" i="4"/>
  <c r="I88" i="4"/>
  <c r="J88" i="4"/>
  <c r="I87" i="4"/>
  <c r="I91" i="4"/>
  <c r="J86" i="4"/>
  <c r="J90" i="4"/>
  <c r="D17" i="5"/>
  <c r="E17" i="5"/>
  <c r="F17" i="5"/>
  <c r="G17" i="5"/>
  <c r="C17" i="5"/>
  <c r="D10" i="5"/>
  <c r="E10" i="5"/>
  <c r="F10" i="5"/>
  <c r="G10" i="5"/>
  <c r="C10" i="5"/>
  <c r="J66" i="4"/>
  <c r="I66" i="4"/>
  <c r="D60" i="4"/>
  <c r="E60" i="4"/>
  <c r="F60" i="4"/>
  <c r="G60" i="4"/>
  <c r="E35" i="4"/>
  <c r="F35" i="4"/>
  <c r="G35" i="4"/>
  <c r="D35" i="4"/>
  <c r="G33" i="4"/>
  <c r="F33" i="4"/>
  <c r="E31" i="4"/>
  <c r="F31" i="4"/>
  <c r="G31" i="4"/>
  <c r="E32" i="4"/>
  <c r="F32" i="4"/>
  <c r="G32" i="4"/>
  <c r="E33" i="4"/>
  <c r="E34" i="4"/>
  <c r="F34" i="4"/>
  <c r="G34" i="4"/>
  <c r="D31" i="4"/>
  <c r="D32" i="4"/>
  <c r="D33" i="4"/>
  <c r="D34" i="4"/>
  <c r="E30" i="4"/>
  <c r="F30" i="4"/>
  <c r="G30" i="4"/>
  <c r="D30" i="4"/>
  <c r="E25" i="4"/>
  <c r="F25" i="4"/>
  <c r="G25" i="4"/>
  <c r="D25" i="4"/>
  <c r="E26" i="4"/>
  <c r="F26" i="4"/>
  <c r="G26" i="4"/>
  <c r="F27" i="4"/>
  <c r="G27" i="4"/>
  <c r="D26" i="4"/>
  <c r="D27" i="4"/>
  <c r="E24" i="4"/>
  <c r="D24" i="4"/>
  <c r="E23" i="4"/>
  <c r="F23" i="4"/>
  <c r="G23" i="4"/>
  <c r="D23" i="4"/>
  <c r="E22" i="4"/>
  <c r="F22" i="4"/>
  <c r="G22" i="4"/>
  <c r="D22" i="4"/>
  <c r="E21" i="4"/>
  <c r="F21" i="4"/>
  <c r="G21" i="4"/>
  <c r="D21" i="4"/>
  <c r="E20" i="4"/>
  <c r="F20" i="4"/>
  <c r="G20" i="4"/>
  <c r="D20" i="4"/>
  <c r="E16" i="4"/>
  <c r="F16" i="4"/>
  <c r="G16" i="4"/>
  <c r="E17" i="4"/>
  <c r="F17" i="4"/>
  <c r="G17" i="4"/>
  <c r="D17" i="4"/>
  <c r="E15" i="4"/>
  <c r="F15" i="4"/>
  <c r="G15" i="4"/>
  <c r="C35" i="1"/>
  <c r="C23" i="1"/>
  <c r="C28" i="1" s="1"/>
  <c r="C11" i="1"/>
  <c r="R14" i="11" l="1"/>
  <c r="R17" i="11" s="1"/>
  <c r="E14" i="11"/>
  <c r="E16" i="5"/>
  <c r="F13" i="5" s="1"/>
  <c r="C36" i="1"/>
  <c r="C38" i="1" s="1"/>
  <c r="N90" i="4"/>
  <c r="I76" i="2"/>
  <c r="N88" i="4"/>
  <c r="I74" i="2"/>
  <c r="N87" i="4"/>
  <c r="I73" i="2"/>
  <c r="N86" i="4"/>
  <c r="I72" i="2"/>
  <c r="N91" i="4"/>
  <c r="I78" i="2"/>
  <c r="N85" i="4"/>
  <c r="I71" i="2"/>
  <c r="J21" i="4"/>
  <c r="J27" i="4"/>
  <c r="J26" i="4"/>
  <c r="J17" i="4"/>
  <c r="J22" i="4"/>
  <c r="J60" i="4"/>
  <c r="J16" i="4"/>
  <c r="J23" i="4"/>
  <c r="J25" i="4"/>
  <c r="I34" i="4"/>
  <c r="I16" i="4"/>
  <c r="I33" i="4"/>
  <c r="J15" i="4"/>
  <c r="I31" i="4"/>
  <c r="I21" i="4"/>
  <c r="I27" i="4"/>
  <c r="AK33" i="4"/>
  <c r="AJ33" i="4"/>
  <c r="AL33" i="4"/>
  <c r="AI33" i="4"/>
  <c r="AH33" i="4"/>
  <c r="J20" i="4"/>
  <c r="I20" i="4"/>
  <c r="I23" i="4"/>
  <c r="J30" i="4"/>
  <c r="I32" i="4"/>
  <c r="I60" i="4"/>
  <c r="I25" i="4"/>
  <c r="J24" i="4"/>
  <c r="I30" i="4"/>
  <c r="I15" i="4"/>
  <c r="J34" i="4"/>
  <c r="J31" i="4"/>
  <c r="I17" i="4"/>
  <c r="I22" i="4"/>
  <c r="I26" i="4"/>
  <c r="J35" i="4"/>
  <c r="J33" i="4"/>
  <c r="I24" i="4"/>
  <c r="I35" i="4"/>
  <c r="J32" i="4"/>
  <c r="G9" i="4"/>
  <c r="J9" i="4" s="1"/>
  <c r="E6" i="4"/>
  <c r="F6" i="4"/>
  <c r="G6" i="4"/>
  <c r="E7" i="4"/>
  <c r="F7" i="4"/>
  <c r="G7" i="4"/>
  <c r="E8" i="4"/>
  <c r="F8" i="4"/>
  <c r="G8" i="4"/>
  <c r="E10" i="4"/>
  <c r="F10" i="4"/>
  <c r="G10" i="4"/>
  <c r="D7" i="4"/>
  <c r="D8" i="4"/>
  <c r="D10" i="4"/>
  <c r="D6" i="4"/>
  <c r="F14" i="11" l="1"/>
  <c r="S14" i="11"/>
  <c r="S17" i="11" s="1"/>
  <c r="F16" i="5"/>
  <c r="G13" i="5" s="1"/>
  <c r="AK26" i="4"/>
  <c r="O26" i="4" s="1" a="1"/>
  <c r="O26" i="4" s="1"/>
  <c r="AH26" i="4"/>
  <c r="L26" i="4" s="1" a="1"/>
  <c r="L26" i="4" s="1"/>
  <c r="H26" i="1" s="1"/>
  <c r="AA26" i="4"/>
  <c r="AB26" i="4"/>
  <c r="AC26" i="4"/>
  <c r="U26" i="4"/>
  <c r="V26" i="4"/>
  <c r="X26" i="4"/>
  <c r="AL26" i="4"/>
  <c r="P26" i="4" s="1" a="1"/>
  <c r="P26" i="4" s="1"/>
  <c r="AD26" i="4"/>
  <c r="AE26" i="4"/>
  <c r="W26" i="4"/>
  <c r="AI26" i="4"/>
  <c r="M26" i="4" s="1" a="1"/>
  <c r="M26" i="4" s="1"/>
  <c r="T26" i="4"/>
  <c r="AJ26" i="4"/>
  <c r="N26" i="4" s="1" a="1"/>
  <c r="N26" i="4" s="1"/>
  <c r="C4" i="11"/>
  <c r="C6" i="11" s="1"/>
  <c r="C8" i="11" s="1"/>
  <c r="C11" i="11" s="1"/>
  <c r="C17" i="11" s="1"/>
  <c r="C51" i="4"/>
  <c r="C81" i="4"/>
  <c r="C62" i="4"/>
  <c r="C58" i="4"/>
  <c r="C77" i="4"/>
  <c r="C52" i="4"/>
  <c r="C82" i="4"/>
  <c r="C69" i="4"/>
  <c r="C78" i="4"/>
  <c r="C68" i="4"/>
  <c r="C73" i="4"/>
  <c r="C80" i="4"/>
  <c r="C70" i="4"/>
  <c r="C67" i="4"/>
  <c r="C79" i="4"/>
  <c r="C61" i="4"/>
  <c r="C59" i="4"/>
  <c r="C45" i="4"/>
  <c r="C44" i="4"/>
  <c r="C43" i="4"/>
  <c r="C42" i="4"/>
  <c r="C41" i="4"/>
  <c r="C40" i="4"/>
  <c r="C39" i="4"/>
  <c r="C38" i="4"/>
  <c r="C57" i="4"/>
  <c r="O86" i="4"/>
  <c r="J72" i="2"/>
  <c r="O91" i="4"/>
  <c r="J78" i="2"/>
  <c r="O87" i="4"/>
  <c r="J73" i="2"/>
  <c r="O88" i="4"/>
  <c r="J74" i="2"/>
  <c r="O85" i="4"/>
  <c r="J71" i="2"/>
  <c r="O90" i="4"/>
  <c r="J76" i="2"/>
  <c r="O33" i="4" a="1"/>
  <c r="O33" i="4" s="1"/>
  <c r="O32" i="4" a="1"/>
  <c r="O32" i="4" s="1"/>
  <c r="P33" i="4" a="1"/>
  <c r="P33" i="4" s="1"/>
  <c r="P32" i="4" a="1"/>
  <c r="P32" i="4" s="1"/>
  <c r="N33" i="4" a="1"/>
  <c r="N33" i="4" s="1"/>
  <c r="N32" i="4" a="1"/>
  <c r="N32" i="4" s="1"/>
  <c r="L33" i="4" a="1"/>
  <c r="L33" i="4" s="1"/>
  <c r="H33" i="1" s="1"/>
  <c r="L32" i="4" a="1"/>
  <c r="L32" i="4" s="1"/>
  <c r="H32" i="1" s="1"/>
  <c r="M33" i="4" a="1"/>
  <c r="M33" i="4" s="1"/>
  <c r="M32" i="4" a="1"/>
  <c r="M32" i="4" s="1"/>
  <c r="J6" i="4"/>
  <c r="I7" i="4"/>
  <c r="J8" i="4"/>
  <c r="J10" i="4"/>
  <c r="I6" i="4"/>
  <c r="I8" i="4"/>
  <c r="J7" i="4"/>
  <c r="I10" i="4"/>
  <c r="I9" i="4"/>
  <c r="M7" i="4" a="1"/>
  <c r="M7" i="4" s="1"/>
  <c r="N7" i="4" a="1"/>
  <c r="N7" i="4" s="1"/>
  <c r="O7" i="4" a="1"/>
  <c r="O7" i="4" s="1"/>
  <c r="P7" i="4" a="1"/>
  <c r="P7" i="4" s="1"/>
  <c r="M8" i="4" a="1"/>
  <c r="M8" i="4" s="1"/>
  <c r="N8" i="4" a="1"/>
  <c r="N8" i="4" s="1"/>
  <c r="O8" i="4" a="1"/>
  <c r="O8" i="4" s="1"/>
  <c r="P8" i="4" a="1"/>
  <c r="P8" i="4" s="1"/>
  <c r="M9" i="4" a="1"/>
  <c r="M9" i="4" s="1"/>
  <c r="N9" i="4" a="1"/>
  <c r="N9" i="4" s="1"/>
  <c r="O9" i="4" a="1"/>
  <c r="O9" i="4" s="1"/>
  <c r="P9" i="4" a="1"/>
  <c r="P9" i="4" s="1"/>
  <c r="M10" i="4" a="1"/>
  <c r="M10" i="4" s="1"/>
  <c r="N10" i="4" a="1"/>
  <c r="N10" i="4" s="1"/>
  <c r="O10" i="4" a="1"/>
  <c r="O10" i="4" s="1"/>
  <c r="P10" i="4" a="1"/>
  <c r="P10" i="4" s="1"/>
  <c r="L7" i="4" a="1"/>
  <c r="L7" i="4" s="1"/>
  <c r="H7" i="1" s="1"/>
  <c r="L8" i="4" a="1"/>
  <c r="L8" i="4" s="1"/>
  <c r="H8" i="1" s="1"/>
  <c r="I8" i="1" s="1"/>
  <c r="L9" i="4" a="1"/>
  <c r="L9" i="4" s="1"/>
  <c r="H9" i="1" s="1"/>
  <c r="L10" i="4" a="1"/>
  <c r="L10" i="4" s="1"/>
  <c r="H10" i="1" s="1"/>
  <c r="M6" i="4" a="1"/>
  <c r="M6" i="4" s="1"/>
  <c r="N6" i="4" a="1"/>
  <c r="N6" i="4" s="1"/>
  <c r="O6" i="4" a="1"/>
  <c r="O6" i="4" s="1"/>
  <c r="P6" i="4" a="1"/>
  <c r="P6" i="4" s="1"/>
  <c r="L6" i="4" a="1"/>
  <c r="L6" i="4" s="1"/>
  <c r="H6" i="1" s="1"/>
  <c r="G14" i="11" l="1"/>
  <c r="T14" i="11"/>
  <c r="T17" i="11" s="1"/>
  <c r="G16" i="5"/>
  <c r="H13" i="5" s="1"/>
  <c r="I26" i="1"/>
  <c r="J26" i="1" s="1"/>
  <c r="K26" i="1" s="1"/>
  <c r="L26" i="1" s="1"/>
  <c r="I10" i="1"/>
  <c r="J10" i="1" s="1"/>
  <c r="K10" i="1" s="1"/>
  <c r="L10" i="1" s="1"/>
  <c r="P90" i="4"/>
  <c r="L76" i="2" s="1"/>
  <c r="K76" i="2"/>
  <c r="P85" i="4"/>
  <c r="L71" i="2" s="1"/>
  <c r="K71" i="2"/>
  <c r="I32" i="1"/>
  <c r="J32" i="1" s="1"/>
  <c r="K32" i="1" s="1"/>
  <c r="L32" i="1" s="1"/>
  <c r="P88" i="4"/>
  <c r="L74" i="2" s="1"/>
  <c r="K74" i="2"/>
  <c r="P87" i="4"/>
  <c r="L73" i="2" s="1"/>
  <c r="K73" i="2"/>
  <c r="P91" i="4"/>
  <c r="L78" i="2" s="1"/>
  <c r="K78" i="2"/>
  <c r="I33" i="1"/>
  <c r="J33" i="1" s="1"/>
  <c r="K33" i="1" s="1"/>
  <c r="L33" i="1" s="1"/>
  <c r="P86" i="4"/>
  <c r="L72" i="2" s="1"/>
  <c r="K72" i="2"/>
  <c r="J8" i="1"/>
  <c r="K8" i="1" s="1"/>
  <c r="L8" i="1" s="1"/>
  <c r="I7" i="1"/>
  <c r="J7" i="1" s="1"/>
  <c r="K7" i="1" s="1"/>
  <c r="L7" i="1" s="1"/>
  <c r="I6" i="1"/>
  <c r="J6" i="1" s="1"/>
  <c r="K6" i="1" s="1"/>
  <c r="L6" i="1" s="1"/>
  <c r="I9" i="1"/>
  <c r="J9" i="1" s="1"/>
  <c r="K9" i="1" s="1"/>
  <c r="L9" i="1" s="1"/>
  <c r="D3" i="4"/>
  <c r="E3" i="4" s="1"/>
  <c r="F3" i="4" s="1"/>
  <c r="G3" i="4" s="1"/>
  <c r="L3" i="4" s="1"/>
  <c r="M3" i="4" s="1"/>
  <c r="N3" i="4" s="1"/>
  <c r="O3" i="4" s="1"/>
  <c r="P3" i="4" s="1"/>
  <c r="D35" i="1"/>
  <c r="E35" i="1"/>
  <c r="F35" i="1"/>
  <c r="G35" i="1"/>
  <c r="H35" i="1"/>
  <c r="D23" i="1"/>
  <c r="D28" i="1" s="1"/>
  <c r="E23" i="1"/>
  <c r="E28" i="1" s="1"/>
  <c r="F23" i="1"/>
  <c r="F28" i="1" s="1"/>
  <c r="G23" i="1"/>
  <c r="G28" i="1" s="1"/>
  <c r="H23" i="1"/>
  <c r="H28" i="1" s="1"/>
  <c r="I23" i="1"/>
  <c r="J23" i="1"/>
  <c r="J28" i="1" s="1"/>
  <c r="K23" i="1"/>
  <c r="L23" i="1"/>
  <c r="D11" i="1"/>
  <c r="E11" i="1"/>
  <c r="F11" i="1"/>
  <c r="G11" i="1"/>
  <c r="H11" i="1"/>
  <c r="L28" i="1" l="1"/>
  <c r="K28" i="1"/>
  <c r="I28" i="1"/>
  <c r="L35" i="1"/>
  <c r="J35" i="1"/>
  <c r="K35" i="1"/>
  <c r="I35" i="1"/>
  <c r="J11" i="1"/>
  <c r="K11" i="1"/>
  <c r="I11" i="1"/>
  <c r="L11" i="1"/>
  <c r="H36" i="1"/>
  <c r="H38" i="1" s="1"/>
  <c r="G36" i="1"/>
  <c r="G38" i="1" s="1"/>
  <c r="F36" i="1"/>
  <c r="F38" i="1" s="1"/>
  <c r="E36" i="1"/>
  <c r="E38" i="1" s="1"/>
  <c r="D36" i="1"/>
  <c r="D38" i="1" s="1"/>
  <c r="D77" i="2"/>
  <c r="D79" i="2" s="1"/>
  <c r="E77" i="2"/>
  <c r="E79" i="2" s="1"/>
  <c r="F77" i="2"/>
  <c r="F79" i="2" s="1"/>
  <c r="G77" i="2"/>
  <c r="G79" i="2" s="1"/>
  <c r="C77" i="2"/>
  <c r="C79" i="2" s="1"/>
  <c r="D32" i="2"/>
  <c r="D69" i="2" s="1"/>
  <c r="E32" i="2"/>
  <c r="E69" i="2" s="1"/>
  <c r="F32" i="2"/>
  <c r="F69" i="2" s="1"/>
  <c r="G32" i="2"/>
  <c r="G69" i="2" s="1"/>
  <c r="C32" i="2"/>
  <c r="C69" i="2" s="1"/>
  <c r="D12" i="2"/>
  <c r="D21" i="2" s="1"/>
  <c r="E12" i="2"/>
  <c r="E21" i="2" s="1"/>
  <c r="F12" i="2"/>
  <c r="F21" i="2" s="1"/>
  <c r="G12" i="2"/>
  <c r="G21" i="2" s="1"/>
  <c r="G65" i="4" s="1"/>
  <c r="C12" i="2"/>
  <c r="C21" i="2" s="1"/>
  <c r="D3" i="2"/>
  <c r="E3" i="2" s="1"/>
  <c r="F3" i="2" s="1"/>
  <c r="G3" i="2" s="1"/>
  <c r="H3" i="2" s="1"/>
  <c r="I3" i="2" s="1"/>
  <c r="J3" i="2" s="1"/>
  <c r="K3" i="2" s="1"/>
  <c r="L3" i="2" s="1"/>
  <c r="D44" i="1"/>
  <c r="D75" i="4" s="1"/>
  <c r="E44" i="1"/>
  <c r="E75" i="4" s="1"/>
  <c r="F44" i="1"/>
  <c r="F75" i="4" s="1"/>
  <c r="G44" i="1"/>
  <c r="G75" i="4" s="1"/>
  <c r="C44" i="1"/>
  <c r="C75" i="4" s="1"/>
  <c r="D3" i="1"/>
  <c r="E3" i="1" s="1"/>
  <c r="F3" i="1" s="1"/>
  <c r="G3" i="1" s="1"/>
  <c r="H3" i="1" s="1"/>
  <c r="I3" i="1" s="1"/>
  <c r="J3" i="1" s="1"/>
  <c r="K3" i="1" s="1"/>
  <c r="L3" i="1" s="1"/>
  <c r="E28" i="13" l="1"/>
  <c r="H18" i="2"/>
  <c r="D23" i="14" s="1"/>
  <c r="H5" i="2"/>
  <c r="D74" i="14" s="1"/>
  <c r="H24" i="2"/>
  <c r="D13" i="14" s="1"/>
  <c r="H67" i="2"/>
  <c r="D28" i="14" s="1"/>
  <c r="H17" i="2"/>
  <c r="D22" i="14" s="1"/>
  <c r="H27" i="2"/>
  <c r="D15" i="14" s="1"/>
  <c r="H8" i="2"/>
  <c r="D8" i="14" s="1"/>
  <c r="H35" i="2"/>
  <c r="D27" i="14" s="1"/>
  <c r="H14" i="2"/>
  <c r="D20" i="14" s="1"/>
  <c r="H34" i="2"/>
  <c r="D26" i="14" s="1"/>
  <c r="H13" i="2"/>
  <c r="D19" i="14" s="1"/>
  <c r="H33" i="2"/>
  <c r="D25" i="14" s="1"/>
  <c r="H10" i="2"/>
  <c r="D10" i="14" s="1"/>
  <c r="H23" i="2"/>
  <c r="D12" i="14" s="1"/>
  <c r="H19" i="2"/>
  <c r="D24" i="14" s="1"/>
  <c r="H7" i="2"/>
  <c r="H68" i="2"/>
  <c r="H50" i="5" s="1"/>
  <c r="C65" i="4"/>
  <c r="D65" i="4"/>
  <c r="F65" i="4"/>
  <c r="E65" i="4"/>
  <c r="J75" i="4"/>
  <c r="I75" i="4"/>
  <c r="D4" i="11"/>
  <c r="D6" i="11" s="1"/>
  <c r="D8" i="11" s="1"/>
  <c r="D11" i="11" s="1"/>
  <c r="D17" i="11" s="1"/>
  <c r="D78" i="4"/>
  <c r="D68" i="4"/>
  <c r="D80" i="4"/>
  <c r="D70" i="4"/>
  <c r="D77" i="4"/>
  <c r="D67" i="4"/>
  <c r="D52" i="4"/>
  <c r="D58" i="4"/>
  <c r="D69" i="4"/>
  <c r="D73" i="4"/>
  <c r="D82" i="4"/>
  <c r="D79" i="4"/>
  <c r="D51" i="4"/>
  <c r="D81" i="4"/>
  <c r="D62" i="4"/>
  <c r="E4" i="11"/>
  <c r="E6" i="11" s="1"/>
  <c r="E8" i="11" s="1"/>
  <c r="E11" i="11" s="1"/>
  <c r="E17" i="11" s="1"/>
  <c r="E81" i="4"/>
  <c r="E62" i="4"/>
  <c r="E73" i="4"/>
  <c r="E80" i="4"/>
  <c r="E70" i="4"/>
  <c r="E82" i="4"/>
  <c r="E79" i="4"/>
  <c r="E78" i="4"/>
  <c r="E68" i="4"/>
  <c r="E77" i="4"/>
  <c r="E67" i="4"/>
  <c r="E52" i="4"/>
  <c r="E58" i="4"/>
  <c r="E69" i="4"/>
  <c r="E51" i="4"/>
  <c r="F4" i="11"/>
  <c r="F6" i="11" s="1"/>
  <c r="F8" i="11" s="1"/>
  <c r="F11" i="11" s="1"/>
  <c r="F17" i="11" s="1"/>
  <c r="F51" i="4"/>
  <c r="F78" i="4"/>
  <c r="F68" i="4"/>
  <c r="F73" i="4"/>
  <c r="F80" i="4"/>
  <c r="F52" i="4"/>
  <c r="F58" i="4"/>
  <c r="F69" i="4"/>
  <c r="F81" i="4"/>
  <c r="F62" i="4"/>
  <c r="F70" i="4"/>
  <c r="F77" i="4"/>
  <c r="F67" i="4"/>
  <c r="F82" i="4"/>
  <c r="F79" i="4"/>
  <c r="G4" i="11"/>
  <c r="G6" i="11" s="1"/>
  <c r="G81" i="4"/>
  <c r="G62" i="4"/>
  <c r="G78" i="4"/>
  <c r="G68" i="4"/>
  <c r="G73" i="4"/>
  <c r="G80" i="4"/>
  <c r="G70" i="4"/>
  <c r="G82" i="4"/>
  <c r="G51" i="4"/>
  <c r="G58" i="4"/>
  <c r="G77" i="4"/>
  <c r="G67" i="4"/>
  <c r="G52" i="4"/>
  <c r="G79" i="4"/>
  <c r="G69" i="4"/>
  <c r="H4" i="11"/>
  <c r="H43" i="5"/>
  <c r="H20" i="2"/>
  <c r="H29" i="5"/>
  <c r="H14" i="5"/>
  <c r="H31" i="2"/>
  <c r="H32" i="5" s="1"/>
  <c r="I36" i="1"/>
  <c r="I38" i="1" s="1"/>
  <c r="L36" i="1"/>
  <c r="L38" i="1" s="1"/>
  <c r="K36" i="1"/>
  <c r="K38" i="1" s="1"/>
  <c r="J36" i="1"/>
  <c r="J38" i="1" s="1"/>
  <c r="H42" i="1"/>
  <c r="H43" i="1"/>
  <c r="H41" i="1"/>
  <c r="H48" i="1"/>
  <c r="H49" i="1"/>
  <c r="E61" i="4"/>
  <c r="D61" i="4"/>
  <c r="D45" i="4"/>
  <c r="D42" i="4"/>
  <c r="D39" i="4"/>
  <c r="D44" i="4"/>
  <c r="D38" i="4"/>
  <c r="D43" i="4"/>
  <c r="D41" i="4"/>
  <c r="D57" i="4"/>
  <c r="D59" i="4"/>
  <c r="D40" i="4"/>
  <c r="G61" i="4"/>
  <c r="G57" i="4"/>
  <c r="G42" i="4"/>
  <c r="G41" i="4"/>
  <c r="G43" i="4"/>
  <c r="G45" i="4"/>
  <c r="G39" i="4"/>
  <c r="G44" i="4"/>
  <c r="G59" i="4"/>
  <c r="G38" i="4"/>
  <c r="G40" i="4"/>
  <c r="F61" i="4"/>
  <c r="F42" i="4"/>
  <c r="F45" i="4"/>
  <c r="F39" i="4"/>
  <c r="F40" i="4"/>
  <c r="F59" i="4"/>
  <c r="F57" i="4"/>
  <c r="F44" i="4"/>
  <c r="F41" i="4"/>
  <c r="F38" i="4"/>
  <c r="F43" i="4"/>
  <c r="H40" i="1"/>
  <c r="E45" i="1"/>
  <c r="E59" i="4"/>
  <c r="E40" i="4"/>
  <c r="E57" i="4"/>
  <c r="E38" i="4"/>
  <c r="E42" i="4"/>
  <c r="E44" i="4"/>
  <c r="E43" i="4"/>
  <c r="E39" i="4"/>
  <c r="E41" i="4"/>
  <c r="E45" i="4"/>
  <c r="D80" i="2"/>
  <c r="D81" i="2" s="1"/>
  <c r="C80" i="2"/>
  <c r="C81" i="2" s="1"/>
  <c r="F80" i="2"/>
  <c r="F81" i="2" s="1"/>
  <c r="E80" i="2"/>
  <c r="E81" i="2" s="1"/>
  <c r="D45" i="1"/>
  <c r="D50" i="1" s="1"/>
  <c r="G45" i="1"/>
  <c r="F45" i="1"/>
  <c r="F50" i="1" s="1"/>
  <c r="E50" i="1"/>
  <c r="C45" i="1"/>
  <c r="C50" i="1" s="1"/>
  <c r="G80" i="2"/>
  <c r="G81" i="2" s="1"/>
  <c r="H49" i="5" l="1"/>
  <c r="H31" i="5"/>
  <c r="H24" i="5"/>
  <c r="H42" i="5"/>
  <c r="H47" i="5"/>
  <c r="H21" i="5"/>
  <c r="H51" i="5"/>
  <c r="H41" i="5"/>
  <c r="H48" i="5"/>
  <c r="H9" i="2"/>
  <c r="D9" i="14" s="1"/>
  <c r="H25" i="2"/>
  <c r="D14" i="14" s="1"/>
  <c r="J4" i="11"/>
  <c r="J14" i="2"/>
  <c r="J13" i="2"/>
  <c r="H15" i="11"/>
  <c r="D18" i="14"/>
  <c r="D29" i="14" s="1"/>
  <c r="I14" i="2"/>
  <c r="E20" i="14" s="1"/>
  <c r="I13" i="2"/>
  <c r="E19" i="14" s="1"/>
  <c r="D7" i="14"/>
  <c r="H23" i="5"/>
  <c r="K14" i="2"/>
  <c r="K13" i="2"/>
  <c r="L4" i="11"/>
  <c r="L19" i="2"/>
  <c r="L42" i="5" s="1"/>
  <c r="L14" i="2"/>
  <c r="L13" i="2"/>
  <c r="J65" i="4"/>
  <c r="I65" i="4"/>
  <c r="I64" i="4"/>
  <c r="I69" i="4"/>
  <c r="I52" i="4"/>
  <c r="K14" i="5" s="1"/>
  <c r="G18" i="14" s="1"/>
  <c r="I82" i="4"/>
  <c r="I70" i="4"/>
  <c r="I80" i="4"/>
  <c r="I73" i="4"/>
  <c r="J63" i="4"/>
  <c r="J73" i="4"/>
  <c r="J64" i="4"/>
  <c r="J69" i="4"/>
  <c r="J52" i="4"/>
  <c r="I4" i="11"/>
  <c r="E29" i="13"/>
  <c r="H7" i="11"/>
  <c r="U15" i="11"/>
  <c r="G8" i="11"/>
  <c r="G11" i="11" s="1"/>
  <c r="G17" i="11" s="1"/>
  <c r="I51" i="4"/>
  <c r="AH52" i="4"/>
  <c r="AA52" i="4"/>
  <c r="AB52" i="4" s="1"/>
  <c r="AC52" i="4" s="1"/>
  <c r="AD52" i="4" s="1"/>
  <c r="AE52" i="4" s="1"/>
  <c r="I81" i="4"/>
  <c r="J77" i="4"/>
  <c r="C52" i="1"/>
  <c r="C47" i="4"/>
  <c r="I63" i="4"/>
  <c r="I62" i="4"/>
  <c r="J67" i="4"/>
  <c r="I78" i="4"/>
  <c r="I67" i="4"/>
  <c r="J62" i="4"/>
  <c r="J70" i="4"/>
  <c r="H5" i="11"/>
  <c r="H6" i="11" s="1"/>
  <c r="I77" i="4"/>
  <c r="J81" i="4"/>
  <c r="J80" i="4"/>
  <c r="I68" i="4"/>
  <c r="J51" i="4"/>
  <c r="J68" i="4"/>
  <c r="J76" i="4"/>
  <c r="J78" i="4"/>
  <c r="K4" i="11"/>
  <c r="I76" i="4"/>
  <c r="J79" i="4"/>
  <c r="I79" i="4"/>
  <c r="J82" i="4"/>
  <c r="J14" i="5"/>
  <c r="F18" i="14" s="1"/>
  <c r="I14" i="5"/>
  <c r="E18" i="14" s="1"/>
  <c r="L23" i="2"/>
  <c r="L35" i="2"/>
  <c r="L24" i="2"/>
  <c r="L68" i="2"/>
  <c r="L50" i="5" s="1"/>
  <c r="L67" i="2"/>
  <c r="L34" i="2"/>
  <c r="L33" i="2"/>
  <c r="L31" i="2"/>
  <c r="L32" i="5" s="1"/>
  <c r="L27" i="2"/>
  <c r="J23" i="2"/>
  <c r="J33" i="2"/>
  <c r="J35" i="2"/>
  <c r="J31" i="2"/>
  <c r="J32" i="5" s="1"/>
  <c r="J68" i="2"/>
  <c r="J50" i="5" s="1"/>
  <c r="J67" i="2"/>
  <c r="J24" i="2"/>
  <c r="J34" i="2"/>
  <c r="J27" i="2"/>
  <c r="K23" i="2"/>
  <c r="G12" i="14" s="1"/>
  <c r="K67" i="2"/>
  <c r="K24" i="2"/>
  <c r="K27" i="2"/>
  <c r="K33" i="2"/>
  <c r="K31" i="2"/>
  <c r="K32" i="5" s="1"/>
  <c r="K35" i="2"/>
  <c r="K34" i="2"/>
  <c r="K68" i="2"/>
  <c r="K50" i="5" s="1"/>
  <c r="I23" i="2"/>
  <c r="E12" i="14" s="1"/>
  <c r="I35" i="2"/>
  <c r="I67" i="2"/>
  <c r="I68" i="2"/>
  <c r="I50" i="5" s="1"/>
  <c r="I34" i="2"/>
  <c r="I33" i="2"/>
  <c r="I31" i="2"/>
  <c r="I32" i="5" s="1"/>
  <c r="I24" i="2"/>
  <c r="H28" i="5"/>
  <c r="J19" i="2"/>
  <c r="J18" i="2"/>
  <c r="J17" i="2"/>
  <c r="J20" i="2"/>
  <c r="K19" i="2"/>
  <c r="K20" i="2"/>
  <c r="K17" i="2"/>
  <c r="K18" i="2"/>
  <c r="L17" i="2"/>
  <c r="L20" i="2"/>
  <c r="L18" i="2"/>
  <c r="I42" i="1"/>
  <c r="I19" i="2"/>
  <c r="I18" i="2"/>
  <c r="I17" i="2"/>
  <c r="I20" i="2"/>
  <c r="J7" i="2"/>
  <c r="K5" i="2"/>
  <c r="G74" i="14" s="1"/>
  <c r="L5" i="2"/>
  <c r="H74" i="14" s="1"/>
  <c r="I43" i="1"/>
  <c r="I5" i="2"/>
  <c r="E74" i="14" s="1"/>
  <c r="I7" i="2"/>
  <c r="I10" i="2"/>
  <c r="I8" i="2"/>
  <c r="I49" i="1"/>
  <c r="I40" i="1"/>
  <c r="I5" i="11" s="1"/>
  <c r="I46" i="1"/>
  <c r="I48" i="1"/>
  <c r="I41" i="1"/>
  <c r="L42" i="1"/>
  <c r="L41" i="1"/>
  <c r="L43" i="1"/>
  <c r="K49" i="1"/>
  <c r="K48" i="1"/>
  <c r="K41" i="1"/>
  <c r="J10" i="2"/>
  <c r="K43" i="1"/>
  <c r="J8" i="2"/>
  <c r="K42" i="1"/>
  <c r="K7" i="2"/>
  <c r="L46" i="1"/>
  <c r="J5" i="2"/>
  <c r="F74" i="14" s="1"/>
  <c r="K10" i="2"/>
  <c r="J40" i="1"/>
  <c r="J5" i="11" s="1"/>
  <c r="L49" i="1"/>
  <c r="L7" i="2"/>
  <c r="K8" i="2"/>
  <c r="K40" i="1"/>
  <c r="K5" i="11" s="1"/>
  <c r="L48" i="1"/>
  <c r="L10" i="2"/>
  <c r="L8" i="2"/>
  <c r="L40" i="1"/>
  <c r="L5" i="11" s="1"/>
  <c r="L6" i="11" s="1"/>
  <c r="J42" i="1"/>
  <c r="J43" i="1"/>
  <c r="J49" i="1"/>
  <c r="J41" i="1"/>
  <c r="J48" i="1"/>
  <c r="F270" i="6"/>
  <c r="F272" i="6" s="1"/>
  <c r="AH42" i="4"/>
  <c r="L42" i="4" s="1" a="1"/>
  <c r="L42" i="4" s="1"/>
  <c r="H46" i="1" s="1"/>
  <c r="J61" i="4"/>
  <c r="F52" i="1"/>
  <c r="F47" i="4"/>
  <c r="D52" i="1"/>
  <c r="D47" i="4"/>
  <c r="G52" i="1"/>
  <c r="G47" i="4"/>
  <c r="I61" i="4"/>
  <c r="I57" i="4"/>
  <c r="H44" i="1"/>
  <c r="H45" i="1" s="1"/>
  <c r="I43" i="4"/>
  <c r="J43" i="4"/>
  <c r="E52" i="1"/>
  <c r="E47" i="4"/>
  <c r="J57" i="4"/>
  <c r="J41" i="4"/>
  <c r="I41" i="4"/>
  <c r="J58" i="4"/>
  <c r="I58" i="4"/>
  <c r="I44" i="4"/>
  <c r="J44" i="4"/>
  <c r="I38" i="4"/>
  <c r="J38" i="4"/>
  <c r="J59" i="4"/>
  <c r="I59" i="4"/>
  <c r="I45" i="4"/>
  <c r="J45" i="4"/>
  <c r="I39" i="4"/>
  <c r="J39" i="4"/>
  <c r="I42" i="4"/>
  <c r="J42" i="4"/>
  <c r="J40" i="4"/>
  <c r="I40" i="4"/>
  <c r="J6" i="11" l="1"/>
  <c r="G19" i="14"/>
  <c r="G20" i="14"/>
  <c r="H52" i="5"/>
  <c r="H55" i="5" s="1"/>
  <c r="H44" i="5"/>
  <c r="H54" i="5" s="1"/>
  <c r="H56" i="5" s="1"/>
  <c r="I6" i="11"/>
  <c r="H22" i="5"/>
  <c r="H25" i="5" s="1"/>
  <c r="H35" i="5" s="1"/>
  <c r="H30" i="5"/>
  <c r="H33" i="5" s="1"/>
  <c r="H36" i="5" s="1"/>
  <c r="H37" i="5" s="1"/>
  <c r="F19" i="14"/>
  <c r="F20" i="14"/>
  <c r="H19" i="14"/>
  <c r="H20" i="14"/>
  <c r="I42" i="5"/>
  <c r="E24" i="14"/>
  <c r="L51" i="5"/>
  <c r="H28" i="14"/>
  <c r="J24" i="5"/>
  <c r="F10" i="14"/>
  <c r="L21" i="5"/>
  <c r="H8" i="14"/>
  <c r="L43" i="5"/>
  <c r="H23" i="14"/>
  <c r="I49" i="5"/>
  <c r="E25" i="14"/>
  <c r="K47" i="5"/>
  <c r="G26" i="14"/>
  <c r="J31" i="5"/>
  <c r="F15" i="14"/>
  <c r="L29" i="5"/>
  <c r="H13" i="14"/>
  <c r="L24" i="5"/>
  <c r="H10" i="14"/>
  <c r="J41" i="5"/>
  <c r="F22" i="14"/>
  <c r="I31" i="5"/>
  <c r="E15" i="14"/>
  <c r="K48" i="5"/>
  <c r="G27" i="14"/>
  <c r="J47" i="5"/>
  <c r="F26" i="14"/>
  <c r="L48" i="5"/>
  <c r="H27" i="14"/>
  <c r="K51" i="5"/>
  <c r="G28" i="14"/>
  <c r="K24" i="5"/>
  <c r="G10" i="14"/>
  <c r="F12" i="14"/>
  <c r="J23" i="5"/>
  <c r="F7" i="14"/>
  <c r="L41" i="5"/>
  <c r="H22" i="14"/>
  <c r="J43" i="5"/>
  <c r="F23" i="14"/>
  <c r="I47" i="5"/>
  <c r="E26" i="14"/>
  <c r="J29" i="5"/>
  <c r="F13" i="14"/>
  <c r="L31" i="5"/>
  <c r="H15" i="14"/>
  <c r="H12" i="14"/>
  <c r="J49" i="5"/>
  <c r="F25" i="14"/>
  <c r="K23" i="5"/>
  <c r="G7" i="14"/>
  <c r="J51" i="5"/>
  <c r="F28" i="14"/>
  <c r="I51" i="5"/>
  <c r="E28" i="14"/>
  <c r="K31" i="5"/>
  <c r="G15" i="14"/>
  <c r="L49" i="5"/>
  <c r="H25" i="14"/>
  <c r="I29" i="5"/>
  <c r="E13" i="14"/>
  <c r="K42" i="5"/>
  <c r="G24" i="14"/>
  <c r="H24" i="14"/>
  <c r="I21" i="5"/>
  <c r="E8" i="14"/>
  <c r="J42" i="5"/>
  <c r="F24" i="14"/>
  <c r="K49" i="5"/>
  <c r="G25" i="14"/>
  <c r="K21" i="5"/>
  <c r="G8" i="14"/>
  <c r="I24" i="5"/>
  <c r="E10" i="14"/>
  <c r="I41" i="5"/>
  <c r="E22" i="14"/>
  <c r="K43" i="5"/>
  <c r="G23" i="14"/>
  <c r="L23" i="5"/>
  <c r="H7" i="14"/>
  <c r="J21" i="5"/>
  <c r="F8" i="14"/>
  <c r="I23" i="5"/>
  <c r="E7" i="14"/>
  <c r="I43" i="5"/>
  <c r="E23" i="14"/>
  <c r="K41" i="5"/>
  <c r="G22" i="14"/>
  <c r="I48" i="5"/>
  <c r="E27" i="14"/>
  <c r="K29" i="5"/>
  <c r="G13" i="14"/>
  <c r="L47" i="5"/>
  <c r="H26" i="14"/>
  <c r="J48" i="5"/>
  <c r="F27" i="14"/>
  <c r="L14" i="5"/>
  <c r="H18" i="14" s="1"/>
  <c r="T51" i="4"/>
  <c r="U51" i="4" s="1"/>
  <c r="V51" i="4" s="1"/>
  <c r="W51" i="4" s="1"/>
  <c r="X51" i="4" s="1"/>
  <c r="AH51" i="4"/>
  <c r="W15" i="11"/>
  <c r="J15" i="11"/>
  <c r="X15" i="11"/>
  <c r="K15" i="11"/>
  <c r="V15" i="11"/>
  <c r="I15" i="11"/>
  <c r="J7" i="11"/>
  <c r="J8" i="11" s="1"/>
  <c r="J11" i="11" s="1"/>
  <c r="H8" i="11"/>
  <c r="H11" i="11" s="1"/>
  <c r="K7" i="11"/>
  <c r="C54" i="1"/>
  <c r="C6" i="5" s="1"/>
  <c r="C9" i="5" s="1"/>
  <c r="D5" i="5" s="1"/>
  <c r="C49" i="4"/>
  <c r="L7" i="11"/>
  <c r="L8" i="11" s="1"/>
  <c r="L11" i="11" s="1"/>
  <c r="I7" i="11"/>
  <c r="AI52" i="4"/>
  <c r="L52" i="4" a="1"/>
  <c r="L52" i="4" s="1"/>
  <c r="K6" i="11"/>
  <c r="J74" i="4"/>
  <c r="I74" i="4"/>
  <c r="J270" i="6"/>
  <c r="J272" i="6" s="1"/>
  <c r="Y34" i="11"/>
  <c r="H270" i="6"/>
  <c r="H272" i="6" s="1"/>
  <c r="I270" i="6"/>
  <c r="I272" i="6" s="1"/>
  <c r="G270" i="6"/>
  <c r="G272" i="6" s="1"/>
  <c r="J9" i="2"/>
  <c r="J25" i="2"/>
  <c r="L9" i="2"/>
  <c r="L25" i="2"/>
  <c r="K28" i="5"/>
  <c r="K9" i="2"/>
  <c r="K25" i="2"/>
  <c r="J28" i="5"/>
  <c r="I9" i="2"/>
  <c r="I25" i="2"/>
  <c r="I28" i="5"/>
  <c r="L28" i="5"/>
  <c r="I44" i="1"/>
  <c r="I45" i="1" s="1"/>
  <c r="K44" i="1"/>
  <c r="K45" i="1" s="1"/>
  <c r="L44" i="1"/>
  <c r="L45" i="1" s="1"/>
  <c r="J44" i="1"/>
  <c r="J45" i="1" s="1"/>
  <c r="F276" i="6"/>
  <c r="F277" i="6" s="1"/>
  <c r="AK42" i="4"/>
  <c r="O42" i="4" s="1" a="1"/>
  <c r="O42" i="4" s="1"/>
  <c r="K46" i="1" s="1"/>
  <c r="AJ42" i="4"/>
  <c r="N42" i="4" s="1" a="1"/>
  <c r="N42" i="4" s="1"/>
  <c r="J46" i="1" s="1"/>
  <c r="G54" i="1"/>
  <c r="H10" i="5" s="1"/>
  <c r="G49" i="4"/>
  <c r="D54" i="1"/>
  <c r="D6" i="5" s="1"/>
  <c r="D49" i="4"/>
  <c r="F54" i="1"/>
  <c r="F6" i="5" s="1"/>
  <c r="F49" i="4"/>
  <c r="E54" i="1"/>
  <c r="E49" i="4"/>
  <c r="J47" i="4"/>
  <c r="I47" i="4"/>
  <c r="I8" i="11" l="1"/>
  <c r="I11" i="11" s="1"/>
  <c r="Y15" i="11"/>
  <c r="L15" i="11"/>
  <c r="L52" i="5"/>
  <c r="G29" i="14"/>
  <c r="I52" i="5"/>
  <c r="I55" i="5" s="1"/>
  <c r="K44" i="5"/>
  <c r="K52" i="5"/>
  <c r="L44" i="5"/>
  <c r="J52" i="5"/>
  <c r="I44" i="5"/>
  <c r="I54" i="5" s="1"/>
  <c r="J44" i="5"/>
  <c r="H29" i="14"/>
  <c r="L22" i="5"/>
  <c r="L25" i="5" s="1"/>
  <c r="H9" i="14"/>
  <c r="F29" i="14"/>
  <c r="J30" i="5"/>
  <c r="J33" i="5" s="1"/>
  <c r="F14" i="14"/>
  <c r="E29" i="14"/>
  <c r="K22" i="5"/>
  <c r="K25" i="5" s="1"/>
  <c r="G9" i="14"/>
  <c r="I22" i="5"/>
  <c r="I25" i="5" s="1"/>
  <c r="I35" i="5" s="1"/>
  <c r="E9" i="14"/>
  <c r="L30" i="5"/>
  <c r="L33" i="5" s="1"/>
  <c r="H14" i="14"/>
  <c r="I30" i="5"/>
  <c r="I33" i="5" s="1"/>
  <c r="I36" i="5" s="1"/>
  <c r="E14" i="14"/>
  <c r="J22" i="5"/>
  <c r="J25" i="5" s="1"/>
  <c r="F9" i="14"/>
  <c r="K30" i="5"/>
  <c r="K33" i="5" s="1"/>
  <c r="G14" i="14"/>
  <c r="AI51" i="4"/>
  <c r="L51" i="4" a="1"/>
  <c r="L51" i="4" s="1"/>
  <c r="U16" i="11"/>
  <c r="H16" i="11"/>
  <c r="I276" i="6"/>
  <c r="I277" i="6" s="1"/>
  <c r="J276" i="6"/>
  <c r="J277" i="6" s="1"/>
  <c r="K8" i="11"/>
  <c r="K11" i="11" s="1"/>
  <c r="AJ52" i="4"/>
  <c r="M52" i="4" a="1"/>
  <c r="M52" i="4" s="1"/>
  <c r="D9" i="5"/>
  <c r="E5" i="5" s="1"/>
  <c r="G6" i="5"/>
  <c r="H276" i="6"/>
  <c r="H277" i="6" s="1"/>
  <c r="G276" i="6"/>
  <c r="G277" i="6" s="1"/>
  <c r="E6" i="5"/>
  <c r="J49" i="4"/>
  <c r="I49" i="4"/>
  <c r="F210" i="6"/>
  <c r="J55" i="5" l="1"/>
  <c r="L54" i="5"/>
  <c r="K54" i="5"/>
  <c r="H61" i="2"/>
  <c r="P34" i="12"/>
  <c r="P41" i="12" s="1"/>
  <c r="Q41" i="12" s="1"/>
  <c r="K55" i="5"/>
  <c r="I56" i="5"/>
  <c r="J54" i="5"/>
  <c r="J56" i="5" s="1"/>
  <c r="K35" i="5"/>
  <c r="L55" i="5"/>
  <c r="L56" i="5" s="1"/>
  <c r="J35" i="5"/>
  <c r="I37" i="5"/>
  <c r="V16" i="11" s="1"/>
  <c r="L35" i="5"/>
  <c r="H15" i="5"/>
  <c r="D6" i="14" s="1"/>
  <c r="AJ51" i="4"/>
  <c r="M51" i="4" a="1"/>
  <c r="M51" i="4" s="1"/>
  <c r="K36" i="5"/>
  <c r="AK52" i="4"/>
  <c r="N52" i="4" a="1"/>
  <c r="N52" i="4" s="1"/>
  <c r="E9" i="5"/>
  <c r="F5" i="5" s="1"/>
  <c r="F9" i="5" s="1"/>
  <c r="G5" i="5" s="1"/>
  <c r="G9" i="5" s="1"/>
  <c r="H5" i="5" s="1"/>
  <c r="J36" i="5"/>
  <c r="L36" i="5"/>
  <c r="F262" i="6"/>
  <c r="F213" i="6"/>
  <c r="F214" i="6" s="1"/>
  <c r="F266" i="6" s="1"/>
  <c r="G208" i="6"/>
  <c r="G210" i="6" s="1"/>
  <c r="G213" i="6"/>
  <c r="G214" i="6" s="1"/>
  <c r="G266" i="6" s="1"/>
  <c r="H16" i="5" l="1"/>
  <c r="I13" i="5" s="1"/>
  <c r="U14" i="11"/>
  <c r="U17" i="11" s="1"/>
  <c r="U26" i="11" s="1"/>
  <c r="H14" i="11"/>
  <c r="K56" i="5"/>
  <c r="K37" i="5"/>
  <c r="J37" i="5"/>
  <c r="J16" i="11" s="1"/>
  <c r="I16" i="11"/>
  <c r="L37" i="5"/>
  <c r="L16" i="11" s="1"/>
  <c r="I15" i="5"/>
  <c r="E6" i="14" s="1"/>
  <c r="AK51" i="4"/>
  <c r="N51" i="4" a="1"/>
  <c r="N51" i="4" s="1"/>
  <c r="L65" i="4"/>
  <c r="H15" i="2" s="1"/>
  <c r="AL52" i="4"/>
  <c r="P52" i="4" s="1" a="1"/>
  <c r="P52" i="4" s="1"/>
  <c r="O52" i="4" a="1"/>
  <c r="O52" i="4" s="1"/>
  <c r="AA43" i="4"/>
  <c r="T43" i="4"/>
  <c r="AH43" i="4"/>
  <c r="L43" i="4" s="1" a="1"/>
  <c r="L43" i="4" s="1"/>
  <c r="AI43" i="4"/>
  <c r="M43" i="4" s="1" a="1"/>
  <c r="M43" i="4" s="1"/>
  <c r="AB43" i="4"/>
  <c r="U43" i="4"/>
  <c r="H208" i="6"/>
  <c r="H210" i="6" s="1"/>
  <c r="I61" i="2"/>
  <c r="G262" i="6"/>
  <c r="W16" i="11" l="1"/>
  <c r="K16" i="11"/>
  <c r="X16" i="11"/>
  <c r="I14" i="11"/>
  <c r="V14" i="11"/>
  <c r="V17" i="11" s="1"/>
  <c r="V26" i="11" s="1"/>
  <c r="Y16" i="11"/>
  <c r="I16" i="5"/>
  <c r="M65" i="4" s="1"/>
  <c r="I15" i="2" s="1"/>
  <c r="J15" i="5"/>
  <c r="F6" i="14" s="1"/>
  <c r="AL51" i="4"/>
  <c r="P51" i="4" s="1" a="1"/>
  <c r="P51" i="4" s="1"/>
  <c r="O51" i="4" a="1"/>
  <c r="O51" i="4" s="1"/>
  <c r="I208" i="6"/>
  <c r="I210" i="6" s="1"/>
  <c r="I213" i="6" s="1"/>
  <c r="I214" i="6" s="1"/>
  <c r="I266" i="6" s="1"/>
  <c r="J61" i="2"/>
  <c r="H262" i="6"/>
  <c r="H213" i="6"/>
  <c r="H214" i="6" s="1"/>
  <c r="H266" i="6" s="1"/>
  <c r="W14" i="11" l="1"/>
  <c r="W17" i="11" s="1"/>
  <c r="W26" i="11" s="1"/>
  <c r="J13" i="5"/>
  <c r="J16" i="5" s="1"/>
  <c r="N65" i="4" s="1"/>
  <c r="J15" i="2" s="1"/>
  <c r="J14" i="11"/>
  <c r="K15" i="5"/>
  <c r="G6" i="14" s="1"/>
  <c r="L15" i="5"/>
  <c r="H6" i="14" s="1"/>
  <c r="W43" i="4"/>
  <c r="AD43" i="4"/>
  <c r="AK43" i="4"/>
  <c r="O43" i="4" s="1" a="1"/>
  <c r="O43" i="4" s="1"/>
  <c r="AJ43" i="4"/>
  <c r="N43" i="4" s="1" a="1"/>
  <c r="N43" i="4" s="1"/>
  <c r="AC43" i="4"/>
  <c r="V43" i="4"/>
  <c r="J208" i="6"/>
  <c r="J210" i="6" s="1"/>
  <c r="K61" i="2"/>
  <c r="I262" i="6"/>
  <c r="K13" i="5" l="1"/>
  <c r="K16" i="5" s="1"/>
  <c r="L13" i="5" s="1"/>
  <c r="L16" i="5" s="1"/>
  <c r="P65" i="4" s="1"/>
  <c r="L15" i="2" s="1"/>
  <c r="L14" i="11"/>
  <c r="X14" i="11"/>
  <c r="X17" i="11" s="1"/>
  <c r="X26" i="11" s="1"/>
  <c r="Y14" i="11"/>
  <c r="Y17" i="11" s="1"/>
  <c r="Y23" i="11" s="1"/>
  <c r="Y27" i="11" s="1"/>
  <c r="K14" i="11"/>
  <c r="L61" i="2"/>
  <c r="J262" i="6"/>
  <c r="J213" i="6"/>
  <c r="J214" i="6" s="1"/>
  <c r="J266" i="6" s="1"/>
  <c r="O65" i="4" l="1"/>
  <c r="K15" i="2" s="1"/>
  <c r="Y26" i="11"/>
  <c r="AE43" i="4"/>
  <c r="AL43" i="4"/>
  <c r="P43" i="4" s="1" a="1"/>
  <c r="P43" i="4" s="1"/>
  <c r="X43" i="4"/>
  <c r="Y35" i="11" l="1"/>
  <c r="Y36" i="11"/>
  <c r="Y38" i="11" l="1"/>
  <c r="Y40" i="11" s="1"/>
  <c r="Y42" i="11" s="1"/>
  <c r="AK16" i="11"/>
  <c r="AK17" i="11" s="1"/>
  <c r="AK19" i="11" s="1"/>
  <c r="AK21" i="11" l="1"/>
  <c r="P47" i="11"/>
  <c r="L89" i="4"/>
  <c r="M89" i="4"/>
  <c r="N89" i="4"/>
  <c r="O89" i="4"/>
  <c r="P89" i="4"/>
  <c r="H6" i="2"/>
  <c r="I6" i="2"/>
  <c r="J6" i="2"/>
  <c r="K6" i="2"/>
  <c r="L6" i="2"/>
  <c r="H12" i="2"/>
  <c r="I12" i="2"/>
  <c r="J12" i="2"/>
  <c r="K12" i="2"/>
  <c r="L12" i="2"/>
  <c r="H21" i="2"/>
  <c r="I21" i="2"/>
  <c r="J21" i="2"/>
  <c r="K21" i="2"/>
  <c r="L21" i="2"/>
  <c r="H26" i="2"/>
  <c r="I26" i="2"/>
  <c r="J26" i="2"/>
  <c r="K26" i="2"/>
  <c r="L26" i="2"/>
  <c r="H32" i="2"/>
  <c r="I32" i="2"/>
  <c r="J32" i="2"/>
  <c r="K32" i="2"/>
  <c r="L32" i="2"/>
  <c r="H69" i="2"/>
  <c r="I69" i="2"/>
  <c r="J69" i="2"/>
  <c r="K69" i="2"/>
  <c r="L69" i="2"/>
  <c r="H75" i="2"/>
  <c r="I75" i="2"/>
  <c r="J75" i="2"/>
  <c r="K75" i="2"/>
  <c r="L75" i="2"/>
  <c r="H77" i="2"/>
  <c r="I77" i="2"/>
  <c r="J77" i="2"/>
  <c r="K77" i="2"/>
  <c r="L77" i="2"/>
  <c r="H79" i="2"/>
  <c r="I79" i="2"/>
  <c r="J79" i="2"/>
  <c r="K79" i="2"/>
  <c r="L79" i="2"/>
  <c r="H80" i="2"/>
  <c r="I80" i="2"/>
  <c r="J80" i="2"/>
  <c r="K80" i="2"/>
  <c r="L80" i="2"/>
  <c r="H81" i="2"/>
  <c r="I81" i="2"/>
  <c r="J81" i="2"/>
  <c r="K81" i="2"/>
  <c r="L81" i="2"/>
  <c r="I5" i="5"/>
  <c r="J5" i="5"/>
  <c r="K5" i="5"/>
  <c r="L5" i="5"/>
  <c r="H6" i="5"/>
  <c r="I6" i="5"/>
  <c r="J6" i="5"/>
  <c r="K6" i="5"/>
  <c r="L6" i="5"/>
  <c r="H9" i="5"/>
  <c r="I9" i="5"/>
  <c r="J9" i="5"/>
  <c r="K9" i="5"/>
  <c r="L9" i="5"/>
  <c r="D5" i="14"/>
  <c r="E5" i="14"/>
  <c r="F5" i="14"/>
  <c r="G5" i="14"/>
  <c r="H5" i="14"/>
  <c r="D16" i="14"/>
  <c r="E16" i="14"/>
  <c r="F16" i="14"/>
  <c r="G16" i="14"/>
  <c r="H16" i="14"/>
  <c r="D68" i="14"/>
  <c r="E68" i="14"/>
  <c r="F68" i="14"/>
  <c r="G68" i="14"/>
  <c r="H68" i="14"/>
  <c r="E70" i="14"/>
  <c r="F70" i="14"/>
  <c r="G70" i="14"/>
  <c r="H70" i="14"/>
  <c r="D71" i="14"/>
  <c r="E71" i="14"/>
  <c r="F71" i="14"/>
  <c r="G71" i="14"/>
  <c r="H71" i="14"/>
  <c r="D72" i="14"/>
  <c r="E72" i="14"/>
  <c r="F72" i="14"/>
  <c r="G72" i="14"/>
  <c r="H72" i="14"/>
  <c r="D75" i="14"/>
  <c r="E75" i="14"/>
  <c r="F75" i="14"/>
  <c r="G75" i="14"/>
  <c r="H75" i="14"/>
  <c r="H12" i="11"/>
  <c r="I12" i="11"/>
  <c r="J12" i="11"/>
  <c r="K12" i="11"/>
  <c r="L12" i="11"/>
  <c r="H13" i="11"/>
  <c r="I13" i="11"/>
  <c r="J13" i="11"/>
  <c r="K13" i="11"/>
  <c r="L13" i="11"/>
  <c r="H17" i="11"/>
  <c r="I17" i="11"/>
  <c r="J17" i="11"/>
  <c r="K17" i="11"/>
  <c r="L17" i="11"/>
  <c r="L19" i="11"/>
  <c r="H22" i="11"/>
  <c r="I22" i="11"/>
  <c r="J22" i="11"/>
  <c r="K22" i="11"/>
  <c r="L22" i="11"/>
  <c r="H24" i="11"/>
  <c r="I24" i="11"/>
  <c r="J24" i="11"/>
  <c r="K24" i="11"/>
  <c r="L24" i="11"/>
  <c r="L25" i="11"/>
  <c r="C28" i="11"/>
  <c r="F28" i="11"/>
  <c r="C31" i="11"/>
  <c r="C33" i="11"/>
  <c r="C35" i="11"/>
  <c r="C36" i="11" a="1"/>
  <c r="C36" i="11"/>
  <c r="F23" i="6"/>
  <c r="G23" i="6"/>
  <c r="H23" i="6"/>
  <c r="I23" i="6"/>
  <c r="J23" i="6"/>
  <c r="F27" i="6"/>
  <c r="G27" i="6"/>
  <c r="H27" i="6"/>
  <c r="I27" i="6"/>
  <c r="J27" i="6"/>
  <c r="F28" i="6"/>
  <c r="G28" i="6"/>
  <c r="H28" i="6"/>
  <c r="I28" i="6"/>
  <c r="J28" i="6"/>
  <c r="F261" i="6"/>
  <c r="G261" i="6"/>
  <c r="H261" i="6"/>
  <c r="I261" i="6"/>
  <c r="J261" i="6"/>
  <c r="F263" i="6"/>
  <c r="G263" i="6"/>
  <c r="H263" i="6"/>
  <c r="I263" i="6"/>
  <c r="J263" i="6"/>
  <c r="F265" i="6"/>
  <c r="G265" i="6"/>
  <c r="H265" i="6"/>
  <c r="I265" i="6"/>
  <c r="J265" i="6"/>
  <c r="F267" i="6"/>
  <c r="G267" i="6"/>
  <c r="H267" i="6"/>
  <c r="I267" i="6"/>
  <c r="J267" i="6"/>
  <c r="H47" i="1"/>
  <c r="I47" i="1"/>
  <c r="J47" i="1"/>
  <c r="K47" i="1"/>
  <c r="L47" i="1"/>
  <c r="H50" i="1"/>
  <c r="I50" i="1"/>
  <c r="J50" i="1"/>
  <c r="K50" i="1"/>
  <c r="L50" i="1"/>
  <c r="H51" i="1"/>
  <c r="I51" i="1"/>
  <c r="J51" i="1"/>
  <c r="K51" i="1"/>
  <c r="L51" i="1"/>
  <c r="H52" i="1"/>
  <c r="I52" i="1"/>
  <c r="J52" i="1"/>
  <c r="K52" i="1"/>
  <c r="L52" i="1"/>
  <c r="H53" i="1"/>
  <c r="I53" i="1"/>
  <c r="J53" i="1"/>
  <c r="K53" i="1"/>
  <c r="L53" i="1"/>
  <c r="H54" i="1"/>
  <c r="I54" i="1"/>
  <c r="J54" i="1"/>
  <c r="K54" i="1"/>
  <c r="L54" i="1"/>
  <c r="H56" i="1"/>
  <c r="I56" i="1"/>
  <c r="J56" i="1"/>
  <c r="K56" i="1"/>
  <c r="L56" i="1"/>
  <c r="E11" i="13"/>
  <c r="E12" i="13"/>
  <c r="E2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Matthew DiCarlo</author>
    <author>Ninaad Hadge</author>
    <author>Zohaib Sheikh</author>
    <author>Karishma Shah</author>
    <author>Owner</author>
  </authors>
  <commentList>
    <comment ref="J6" authorId="0" shapeId="0" xr:uid="{96C4A871-B5F2-400C-BE74-8EF3618220C5}">
      <text>
        <r>
          <rPr>
            <b/>
            <sz val="9"/>
            <color rgb="FF000000"/>
            <rFont val="Tahoma"/>
            <family val="2"/>
          </rPr>
          <t>Matthew DiCarlo:</t>
        </r>
        <r>
          <rPr>
            <sz val="9"/>
            <color rgb="FF000000"/>
            <rFont val="Tahoma"/>
            <family val="2"/>
          </rPr>
          <t xml:space="preserve">
</t>
        </r>
        <r>
          <rPr>
            <sz val="9"/>
            <color rgb="FF000000"/>
            <rFont val="Tahoma"/>
            <family val="2"/>
          </rPr>
          <t>All revenue segments are 4 year average since we do not have 5 years of data for YoY growth percentages</t>
        </r>
      </text>
    </comment>
    <comment ref="T6" authorId="1" shapeId="0" xr:uid="{B4301C69-2CE9-B949-B23A-C9473F0487F2}">
      <text>
        <r>
          <rPr>
            <b/>
            <sz val="10"/>
            <color rgb="FF000000"/>
            <rFont val="Tahoma"/>
            <family val="2"/>
          </rPr>
          <t>Ninaad Hadge:</t>
        </r>
        <r>
          <rPr>
            <sz val="10"/>
            <color rgb="FF000000"/>
            <rFont val="Tahoma"/>
            <family val="2"/>
          </rPr>
          <t xml:space="preserve">
</t>
        </r>
        <r>
          <rPr>
            <sz val="10"/>
            <color rgb="FF000000"/>
            <rFont val="Tahoma"/>
            <family val="2"/>
          </rPr>
          <t xml:space="preserve">If pricing premiums continue to rise, Cigna's network revenues land shy above its past historical 
</t>
        </r>
      </text>
    </comment>
    <comment ref="AA6" authorId="2" shapeId="0" xr:uid="{574ABAAB-D482-4517-8716-34BFB505EBDB}">
      <text>
        <r>
          <rPr>
            <sz val="11"/>
            <color theme="1"/>
            <rFont val="Aptos Narrow"/>
            <family val="2"/>
            <scheme val="minor"/>
          </rPr>
          <t>Zohaib Sheikh:
I'm projecting 10% network revenue growth in the bear case, well below the 16% base case because while Evernorth's PBM business saw 19% growth in 2025 from utilization tailwinds, the bear case assumes competitive pressures from Amazon Pharmacy, Mark Cuban's Cost Plus, and increased PBM regulatory scrutiny compress growth rates significantly.</t>
        </r>
      </text>
    </comment>
    <comment ref="AB6" authorId="2" shapeId="0" xr:uid="{6B0479C2-1C7F-492F-9929-5FFDD85DF43C}">
      <text>
        <r>
          <rPr>
            <sz val="11"/>
            <color theme="1"/>
            <rFont val="Aptos Narrow"/>
            <family val="2"/>
            <scheme val="minor"/>
          </rPr>
          <t>Zohaib Sheikh:
I believe stepping down to 7.5% is appropriate as the PBM industry faces continued regulatory headwinds around spread pricing transparency and potential rebate reform, which would structurally slow revenue growth.</t>
        </r>
      </text>
    </comment>
    <comment ref="AC6" authorId="2" shapeId="0" xr:uid="{4E1F7E46-DCB4-4390-BEF5-D7B4E8B92294}">
      <text>
        <r>
          <rPr>
            <sz val="11"/>
            <color theme="1"/>
            <rFont val="Aptos Narrow"/>
            <family val="2"/>
            <scheme val="minor"/>
          </rPr>
          <t>Zohaib Sheikh:
I believe 5% reflects a mature, post-regulatory-reform environment where Cigna's network revenue growth normalizes to closer to underlying prescription volume growth, stripped of pricing power.</t>
        </r>
      </text>
    </comment>
    <comment ref="AD6" authorId="2" shapeId="0" xr:uid="{6686A991-931D-4050-8D78-F314147D3735}">
      <text>
        <r>
          <rPr>
            <sz val="11"/>
            <color theme="1"/>
            <rFont val="Aptos Narrow"/>
            <family val="2"/>
            <scheme val="minor"/>
          </rPr>
          <t>Zohaib Sheikh:
I believe 3.5% represents a near-terminal rate as regulatory reform fully takes effect and competitive dynamics limit further market share gains.</t>
        </r>
      </text>
    </comment>
    <comment ref="AE6" authorId="2" shapeId="0" xr:uid="{866C23F3-B55D-47D2-BAB7-9B247E115724}">
      <text>
        <r>
          <rPr>
            <sz val="11"/>
            <color theme="1"/>
            <rFont val="Aptos Narrow"/>
            <family val="2"/>
            <scheme val="minor"/>
          </rPr>
          <t xml:space="preserve">Zohaib Sheikh:
I believe holding at 3.5% reflects a steady-state bear case where organic volume growth is the primary driver, with minimal pricing upside.
</t>
        </r>
      </text>
    </comment>
    <comment ref="AH6" authorId="3" shapeId="0" xr:uid="{179E8BFF-7C36-443E-9102-54D8A54806C0}">
      <text>
        <r>
          <rPr>
            <sz val="11"/>
            <color rgb="FF000000"/>
            <rFont val="Aptos Narrow"/>
            <family val="2"/>
          </rPr>
          <t>Karishma Shah:
In 2026, I project network revenue growth of 14.0%, showing continued strength but starting to come down from recent high levels. Historically, growth has been very volatile, with a spike above 50% followed by around 10%, which tells me recent growth was driven by short-term factors rather than something sustainable. The Cigna Group states that revenue growth mainly comes from premium rate increases and membership (10-K, p. 42–44), with pricing being the main driver. The company also highlights rising costs from utilization, provider pricing, and specialty drugs (p. 18, p. 45), which support higher premiums in the short term. My view is that pricing is still strong going into 2026, especially since contracts reset every year, but I don’t think growth can stay near past levels, so I bring it down slightly.</t>
        </r>
      </text>
    </comment>
    <comment ref="AI6" authorId="3" shapeId="0" xr:uid="{6C132A7C-EDC0-4B9D-93F1-8F1EFF8A8F8C}">
      <text>
        <r>
          <rPr>
            <sz val="11"/>
            <color theme="1"/>
            <rFont val="Aptos Narrow"/>
            <family val="2"/>
            <scheme val="minor"/>
          </rPr>
          <t>Karishma Shah:
While pricing is still a driver, I think it starts to face more pushback from employers. The 10-K points out rising costs from utilization and specialty drugs (p. 18, p. 45), and while these support higher premiums, they also make plans more expensive. Since revenue depends on both pricing and membership (p. 42–44), and membership hasn’t been the main driver, I expect growth to slow as pricing becomes harder to increase. My view is that the business is still strong, but the conditions that supported ~19% growth are starting to fade.</t>
        </r>
      </text>
    </comment>
    <comment ref="AJ6" authorId="3" shapeId="0" xr:uid="{A1F08D69-80E5-4C97-8E1C-5C877CD43D4F}">
      <text>
        <r>
          <rPr>
            <sz val="11"/>
            <color theme="1"/>
            <rFont val="Aptos Narrow"/>
            <family val="2"/>
            <scheme val="minor"/>
          </rPr>
          <t>Karishma Shah:
The 10-K makes it clear that revenue is heavily influenced by pricing (p. 42–44), and based on the drop from earlier years, I think pricing power is already weakening. At the same time, rising medical costs like provider pricing and specialty drugs (p. 45) make it harder to keep raising premiums without pushback. My view is that growth now depends more on actual healthcare demand instead of price increases, which leads to a mid-to-high single-digit growth rate.</t>
        </r>
      </text>
    </comment>
    <comment ref="AK6" authorId="3" shapeId="0" xr:uid="{C9FD56E5-7941-48A7-BC88-3D2DE0C1FDDA}">
      <text>
        <r>
          <rPr>
            <sz val="11"/>
            <color theme="1"/>
            <rFont val="Aptos Narrow"/>
            <family val="2"/>
            <scheme val="minor"/>
          </rPr>
          <t>Karishma Shah:
In 2029, I estimate growth slowing to 6.5% as the company moves closer to industry levels. The earlier spike and steady decline suggest that the business is already normalizing, and I think that continues here. The 10-K highlights ongoing cost pressures (p. 18), which limit how much the company can rely on pricing. My view is that without new growth drivers, like strong membership growth or new services, revenue growth becomes more limited, leading to mid-single-digit expansion.</t>
        </r>
      </text>
    </comment>
    <comment ref="T7" authorId="0" shapeId="0" xr:uid="{91495F59-E637-458A-8B6D-0F832900DD31}">
      <text>
        <r>
          <rPr>
            <b/>
            <sz val="9"/>
            <color rgb="FF000000"/>
            <rFont val="Tahoma"/>
            <family val="2"/>
          </rPr>
          <t>Matthew DiCarlo:</t>
        </r>
        <r>
          <rPr>
            <sz val="9"/>
            <color rgb="FF000000"/>
            <rFont val="Tahoma"/>
            <family val="2"/>
          </rPr>
          <t xml:space="preserve">
</t>
        </r>
        <r>
          <rPr>
            <sz val="9"/>
            <color rgb="FF000000"/>
            <rFont val="Tahoma"/>
            <family val="2"/>
          </rPr>
          <t>While income for workers have seesawed over the past 5 years, medical expenses have increased  by nearly 10%. Pg 41 of most recent 10k states" Pharmacy claim volume is impacted by new clients or organic customer growth through the expansion of existing clients or through the loss of customers and business." With this revenue segment having the ability to negotiate with retail pharmacies to ensure they meet the needs of clients and customers while negotiating with drug manufacturers to lower the cost of prescription drugs; manage cost and quality of specialty drugs; specialize in claim adjudication and benefit administration; improve access, outcomes, and efficiencies within the health care ecosystem; deliver quality primary and behavioral care in virtual-led hybrid settings and in the workplace; navigate the complexities of government-reimbursed business including Medicare, Medicaid and the public exchanges; and use the information obtained about drug, behavioral and medical utilization patterns and consumer behavior to reduce costs for clients and customers and assess the level of service provided.(Pg 5). My assumption is while costs continue to rise due to inflation or major events that can effect oil (which is used in production of healthcare drugs), being able to negotiate for customers in need can result in higher growth YoY. Taking a more opptimistic approach, I am going to assume 11.5% growth which is half a percent more since previous year.</t>
        </r>
      </text>
    </comment>
    <comment ref="U7" authorId="0" shapeId="0" xr:uid="{221B34D2-C62B-4C79-B555-E2EAFBCF79CF}">
      <text>
        <r>
          <rPr>
            <b/>
            <sz val="9"/>
            <color indexed="81"/>
            <rFont val="Tahoma"/>
            <family val="2"/>
          </rPr>
          <t>Matthew DiCarlo:</t>
        </r>
        <r>
          <rPr>
            <sz val="9"/>
            <color indexed="81"/>
            <rFont val="Tahoma"/>
            <family val="2"/>
          </rPr>
          <t xml:space="preserve">
Presient Trump back in January announced the Great Healtchare Plan which has efforts of lowering healthcare prices.  The proposal has expectations to bring down drug prices 80,90%. However this may not matter as housing mortages move higher causing higher cost of living. In understanding both the presidents plan while also taking into account the financial condiditons of indivduals, I am assuming a decline of .5% until 2030. While there is a decline in revenue growth, I do believe a slowed decline is the best case scenario. This revenue segment may be overlooked in terms of other segments, but I do believe this segment, especially in times of financial distress, will allow citizens to obtain medical perscriptions and not overpay.</t>
        </r>
      </text>
    </comment>
    <comment ref="V7" authorId="0" shapeId="0" xr:uid="{27D727E7-123C-4F1F-A8AA-D5C8C28EB55C}">
      <text>
        <r>
          <rPr>
            <b/>
            <sz val="9"/>
            <color indexed="81"/>
            <rFont val="Tahoma"/>
            <family val="2"/>
          </rPr>
          <t>Matthew DiCarlo:</t>
        </r>
        <r>
          <rPr>
            <sz val="9"/>
            <color indexed="81"/>
            <rFont val="Tahoma"/>
            <family val="2"/>
          </rPr>
          <t xml:space="preserve">
With President Trumps term coming to an end, there is optimism that he does carry out his plans to help US citizens be able to afford healthcare which coulld mean either more money in pockets or a further decrease in healthcare costs. While there is slowed growth, I believe that .5% difference each year is resonable until there is something that changes either in this segment or that causes citizens to be in financial distress where if that were to happen, an increase could occur in this segment. Until then there will be a .5% decrease.</t>
        </r>
      </text>
    </comment>
    <comment ref="AA7" authorId="2" shapeId="0" xr:uid="{3A38ECC3-CB53-45DF-BDEC-C57143889A9F}">
      <text>
        <r>
          <rPr>
            <sz val="11"/>
            <color theme="1"/>
            <rFont val="Aptos Narrow"/>
            <family val="2"/>
            <scheme val="minor"/>
          </rPr>
          <t>Zohaib Sheikh:
I'm projecting 8% home delivery &amp; specialty growth in the bear case vs. 11.3% base. Specialty pharmacy remains a secular growth area, but the bear case assumes biosimilar adoption accelerates faster than expected, compressing specialty drug revenue per script.</t>
        </r>
      </text>
    </comment>
    <comment ref="AB7" authorId="2" shapeId="0" xr:uid="{B69C2E99-226A-4FC1-8D2A-508FC9D92D22}">
      <text>
        <r>
          <rPr>
            <sz val="11"/>
            <color theme="1"/>
            <rFont val="Aptos Narrow"/>
            <family val="2"/>
            <scheme val="minor"/>
          </rPr>
          <t>Zohaib Sheikh:
I believe 7% is reasonable as biosimilar penetration deepens across key therapeutic areas (oncology, immunology) and GLP-1 pricing pressures emerge, reducing revenue per fill.</t>
        </r>
      </text>
    </comment>
    <comment ref="AC7" authorId="2" shapeId="0" xr:uid="{1E7213B5-BF06-49CF-8D4C-C1C6F9FDD908}">
      <text>
        <r>
          <rPr>
            <sz val="11"/>
            <color theme="1"/>
            <rFont val="Aptos Narrow"/>
            <family val="2"/>
            <scheme val="minor"/>
          </rPr>
          <t>Zohaib Sheikh:
I believe 6% reflects continued headwinds from drug pricing reform and potential IRA negotiation impacts on specialty drugs flowing through home delivery.</t>
        </r>
      </text>
    </comment>
    <comment ref="AD7" authorId="2" shapeId="0" xr:uid="{700F6C7B-5DD6-47BE-8255-7F72E34CBA92}">
      <text>
        <r>
          <rPr>
            <sz val="11"/>
            <color theme="1"/>
            <rFont val="Aptos Narrow"/>
            <family val="2"/>
            <scheme val="minor"/>
          </rPr>
          <t>Zohaib Sheikh:
I believe 5% represents a moderated growth environment where home delivery volume growth offsets but doesn't overcome pricing headwinds.</t>
        </r>
      </text>
    </comment>
    <comment ref="AE7" authorId="2" shapeId="0" xr:uid="{8E9D620D-04BB-4F7A-8D59-D3A410FF4558}">
      <text>
        <r>
          <rPr>
            <sz val="11"/>
            <color theme="1"/>
            <rFont val="Aptos Narrow"/>
            <family val="2"/>
            <scheme val="minor"/>
          </rPr>
          <t>Zohaib Sheikh:
I believe holding at 5% is appropriate as a bear terminal rate. The specialty pharmacy channel retains structural advantages but pricing power is constrained.</t>
        </r>
      </text>
    </comment>
    <comment ref="AH7" authorId="3" shapeId="0" xr:uid="{96091232-3DC6-4491-9B15-2FE18E7B6BA5}">
      <text>
        <r>
          <rPr>
            <sz val="11"/>
            <color rgb="FF000000"/>
            <rFont val="Aptos Narrow"/>
            <family val="2"/>
          </rPr>
          <t xml:space="preserve">Karishma Shah:
</t>
        </r>
        <r>
          <rPr>
            <sz val="11"/>
            <color rgb="FF000000"/>
            <rFont val="Aptos Narrow"/>
            <family val="2"/>
          </rPr>
          <t>In 2026, I project Home Delivery and Specialty growth of 11.3%, slightly above the historical average and in line with recent performance. Historically, this segment has remained relatively stable in the ~9–11% range, which suggests that growth here is more sustainable compared to more volatile segments. The Cigna Group highlights that specialty pharmacy and home delivery services are key drivers within Evernorth, supported by strong demand and utilization trends (10-K, p. 18, p. 45), while overall revenue growth is driven by pricing and membership (p. 42–44). My view is that current conditions still support strong growth, as higher drug costs and utilization continue to flow through revenue in the near term, so I keep growth slightly above average before it begins to normalize.</t>
        </r>
      </text>
    </comment>
    <comment ref="AI7" authorId="3" shapeId="0" xr:uid="{752405B3-5E40-4F29-8BFF-2BF8AC658432}">
      <text>
        <r>
          <rPr>
            <sz val="11"/>
            <color theme="1"/>
            <rFont val="Aptos Narrow"/>
            <family val="2"/>
            <scheme val="minor"/>
          </rPr>
          <t>Karishma Shah:
I project growth of 10.0% as the segment begins to normalize toward its historical range. While the 10-K indicates that specialty drug demand and utilization will continue to support growth (p. 18, p. 45), it also highlights ongoing cost pressures across the healthcare system, which can create affordability concerns for employers and payors. Since revenue depends on both pricing and membership (p. 42–44), I believe pricing becomes slightly harder to push through at the same rate over time. My view is that growth remains strong, but the conditions that supported recent performance begin to ease, leading to a gradual step down.</t>
        </r>
      </text>
    </comment>
    <comment ref="AJ7" authorId="3" shapeId="0" xr:uid="{6FCF1080-C07C-48AB-A7C4-EE628B5371A9}">
      <text>
        <r>
          <rPr>
            <sz val="11"/>
            <color theme="1"/>
            <rFont val="Aptos Narrow"/>
            <family val="2"/>
            <scheme val="minor"/>
          </rPr>
          <t>Karishma Shah:
By 2028, I project growth of 9.5%, closely aligned with long-term historical averages. The 10-K continues to emphasize that growth is driven by specialty drug costs and utilization (p. 18, p. 45), but it does not point to new drivers that would push growth above prior levels. My view is that this signals a more stable outlook rather than continued expansion, as pricing power becomes more constrained and growth becomes more dependent on steady demand instead of strong pricing increases, keeping it in line with historical trends.</t>
        </r>
      </text>
    </comment>
    <comment ref="AK7" authorId="3" shapeId="0" xr:uid="{8DE7CFF1-941A-4C11-9A0A-7EB0864B5DB5}">
      <text>
        <r>
          <rPr>
            <sz val="11"/>
            <color theme="1"/>
            <rFont val="Aptos Narrow"/>
            <family val="2"/>
            <scheme val="minor"/>
          </rPr>
          <t>Karishma Shah:
In 2029, I project growth of 8.0% as the segment continues to mature and move toward a more normalized level. While specialty pharmacy remains a key driver, the 10-K highlights ongoing cost pressures from utilization and drug pricing (p. 18, p. 45), which limit long-term pricing flexibility. My view is that by this point, most of the benefits from prior growth trends have already been realized, and without new major drivers, growth becomes more dependent on stable demand rather than continued pricing-driven increases, leading to a further step down.</t>
        </r>
      </text>
    </comment>
    <comment ref="T8" authorId="1" shapeId="0" xr:uid="{D0B78C34-C537-E348-BC3B-FE58DE08EEE9}">
      <text>
        <r>
          <rPr>
            <b/>
            <sz val="10"/>
            <color rgb="FF000000"/>
            <rFont val="Tahoma"/>
            <family val="2"/>
          </rPr>
          <t>Ninaad Hadge:</t>
        </r>
        <r>
          <rPr>
            <sz val="10"/>
            <color rgb="FF000000"/>
            <rFont val="Tahoma"/>
            <family val="2"/>
          </rPr>
          <t xml:space="preserve">
</t>
        </r>
        <r>
          <rPr>
            <sz val="10"/>
            <color rgb="FF000000"/>
            <rFont val="Aptos Narrow"/>
            <family val="2"/>
            <scheme val="minor"/>
          </rPr>
          <t xml:space="preserve">The Cigna Group notes in its 10-K that revenue can be impacted by pricing, membership, and changes in business mix (10-K, p. 42–44), and if membership rises with growing initiatives and growth factos from Cigna
</t>
        </r>
      </text>
    </comment>
    <comment ref="AA8" authorId="2" shapeId="0" xr:uid="{815224FD-8D4D-4ED0-8A6E-8B31B9B449E1}">
      <text>
        <r>
          <rPr>
            <sz val="11"/>
            <color theme="1"/>
            <rFont val="Aptos Narrow"/>
            <family val="2"/>
            <scheme val="minor"/>
          </rPr>
          <t>Zohaib Sheikh:
I'm projecting 9% for other pharmacy revenues in the bear case, down from 14% base. This category includes data analytics and other ancillary services which are more discretionary and vulnerable to client budget cuts in a downturn.</t>
        </r>
      </text>
    </comment>
    <comment ref="AB8" authorId="2" shapeId="0" xr:uid="{158B858B-C006-4E73-AA41-C710E81F7F3D}">
      <text>
        <r>
          <rPr>
            <sz val="11"/>
            <color theme="1"/>
            <rFont val="Aptos Narrow"/>
            <family val="2"/>
            <scheme val="minor"/>
          </rPr>
          <t>Zohaib Sheikh:
I believe 7.5% is appropriate as client demand for ancillary services moderates and cross-sell momentum slows.</t>
        </r>
      </text>
    </comment>
    <comment ref="AC8" authorId="2" shapeId="0" xr:uid="{FC56AF18-B8D0-4488-975D-0B6D5300FB53}">
      <text>
        <r>
          <rPr>
            <sz val="11"/>
            <color theme="1"/>
            <rFont val="Aptos Narrow"/>
            <family val="2"/>
            <scheme val="minor"/>
          </rPr>
          <t>Zohaib Sheikh:
I believe 6.5% reflects further normalization as the easy wins from the Evernorth platform expansion are largely captured.</t>
        </r>
      </text>
    </comment>
    <comment ref="AD8" authorId="2" shapeId="0" xr:uid="{C31FA692-A256-4688-B012-6E562250191F}">
      <text>
        <r>
          <rPr>
            <sz val="11"/>
            <color theme="1"/>
            <rFont val="Aptos Narrow"/>
            <family val="2"/>
            <scheme val="minor"/>
          </rPr>
          <t>Zohaib Sheikh:
I believe 6% represents near-terminal growth as the ancillary revenue base matures.</t>
        </r>
      </text>
    </comment>
    <comment ref="AE8" authorId="2" shapeId="0" xr:uid="{A85E662D-26C4-480E-99C3-5C88F5905A90}">
      <text>
        <r>
          <rPr>
            <sz val="11"/>
            <color theme="1"/>
            <rFont val="Aptos Narrow"/>
            <family val="2"/>
            <scheme val="minor"/>
          </rPr>
          <t>Zohaib Sheikh:
I believe holding at 6% is a reasonable bear terminal rate for this category.</t>
        </r>
      </text>
    </comment>
    <comment ref="AH8" authorId="3" shapeId="0" xr:uid="{D38FE7F7-E476-495A-AA60-F5728096652D}">
      <text>
        <r>
          <rPr>
            <sz val="11"/>
            <color rgb="FF000000"/>
            <rFont val="Aptos Narrow"/>
            <family val="2"/>
          </rPr>
          <t xml:space="preserve">Karishma Shah:
</t>
        </r>
        <r>
          <rPr>
            <sz val="11"/>
            <color rgb="FF000000"/>
            <rFont val="Aptos Narrow"/>
            <family val="2"/>
          </rPr>
          <t>In 2026, I project Other Revenues growth of 13.95%, reflecting a continued step down from previously elevated levels while still remaining above a fully normalized range. Historically, this segment has been highly volatile, with growth reaching nearly 34% and 27% before declining to around 15%. This pattern suggests that the earlier spike was likely driven by temporary factors such as changes in business mix, one-time adjustments, or contributions from acquisitions rather than consistent underlying demand. The Cigna Group notes in its 10-K that revenue can be impacted by pricing, membership, and changes in business mix (10-K, p. 42–44), which helps explain why smaller segments like this can experience large swings. My view is that while the spike is already unwinding, some of those factors still carry into the near term, so growth remains relatively elevated in 2026 before continuing to normalize.</t>
        </r>
      </text>
    </comment>
    <comment ref="AI8" authorId="3" shapeId="0" xr:uid="{ABC216AC-0DDD-4ED7-B50B-390F18CDA05A}">
      <text>
        <r>
          <rPr>
            <sz val="11"/>
            <color rgb="FF000000"/>
            <rFont val="Aptos Narrow"/>
            <family val="2"/>
          </rPr>
          <t xml:space="preserve">Karishma Shah:
</t>
        </r>
        <r>
          <rPr>
            <sz val="11"/>
            <color rgb="FF000000"/>
            <rFont val="Aptos Narrow"/>
            <family val="2"/>
          </rPr>
          <t>In 2027, I project growth of 11.80% as the segment continues to normalize following the earlier spike. The sharp increase in prior years followed by steady declines suggests that the drivers of growth were not sustainable. While the 10-K highlights ongoing cost and utilization trends across the business (p. 18), it does not point to specific long-term initiatives tied to this segment, reinforcing the idea that past growth was more situational than structural. My view is that as the impact of those temporary drivers fades, growth continues to decline but remains supported by overall business activity.</t>
        </r>
      </text>
    </comment>
    <comment ref="AJ8" authorId="3" shapeId="0" xr:uid="{CCC15206-90D2-4EAF-849C-04DE626CBB3C}">
      <text>
        <r>
          <rPr>
            <sz val="11"/>
            <color theme="1"/>
            <rFont val="Aptos Narrow"/>
            <family val="2"/>
            <scheme val="minor"/>
          </rPr>
          <t>Karishma Shah:
By 2028, I project growth of 11.00%, showing a slower rate of decline as the segment begins to stabilize. The earlier spike appears to have been driven by short-term factors such as acquisitions or shifts in revenue mix, and by this point, those effects are largely absorbed into the base. The 10-K continues to emphasize that revenue is influenced by pricing and membership (p. 42–44), but since this segment is not a core driver, it does not benefit from those factors in a consistent way. My view is that growth levels off around this range as the segment transitions from normalization to stability.</t>
        </r>
      </text>
    </comment>
    <comment ref="AK8" authorId="3" shapeId="0" xr:uid="{B3156BD2-2C98-4819-B67E-5F0B25223BF8}">
      <text>
        <r>
          <rPr>
            <sz val="11"/>
            <color theme="1"/>
            <rFont val="Aptos Narrow"/>
            <family val="2"/>
            <scheme val="minor"/>
          </rPr>
          <t>Karishma Shah:
The trend from 34% to 27% to 15% suggests a clear normalization pattern, and I believe most of that adjustment has already taken place by this point. The 10-K highlights ongoing cost pressures (p. 18), which limit the ability to drive strong pricing-based growth across smaller segments. My view is that growth becomes more predictable here, supported by general operations rather than any specific high-growth drivers.</t>
        </r>
      </text>
    </comment>
    <comment ref="I9" authorId="0" shapeId="0" xr:uid="{963B3E82-563E-4C34-8CE7-A67B04B628A2}">
      <text>
        <r>
          <rPr>
            <b/>
            <sz val="9"/>
            <color rgb="FF000000"/>
            <rFont val="Tahoma"/>
            <family val="2"/>
          </rPr>
          <t>Matthew DiCarlo:</t>
        </r>
        <r>
          <rPr>
            <sz val="9"/>
            <color rgb="FF000000"/>
            <rFont val="Tahoma"/>
            <family val="2"/>
          </rPr>
          <t xml:space="preserve">
</t>
        </r>
        <r>
          <rPr>
            <sz val="9"/>
            <color rgb="FF000000"/>
            <rFont val="Tahoma"/>
            <family val="2"/>
          </rPr>
          <t>one year average since there is only growth from 2024 to 2025</t>
        </r>
      </text>
    </comment>
    <comment ref="J9" authorId="0" shapeId="0" xr:uid="{EF902670-B4AA-4A7E-9940-708834D31A84}">
      <text>
        <r>
          <rPr>
            <b/>
            <sz val="9"/>
            <color rgb="FF000000"/>
            <rFont val="Tahoma"/>
            <family val="2"/>
          </rPr>
          <t>Matthew DiCarlo:</t>
        </r>
        <r>
          <rPr>
            <sz val="9"/>
            <color rgb="FF000000"/>
            <rFont val="Tahoma"/>
            <family val="2"/>
          </rPr>
          <t xml:space="preserve">
</t>
        </r>
        <r>
          <rPr>
            <sz val="9"/>
            <color rgb="FF000000"/>
            <rFont val="Tahoma"/>
            <family val="2"/>
          </rPr>
          <t>one year average since there is only growth from 2024 to 2025</t>
        </r>
      </text>
    </comment>
    <comment ref="AA9" authorId="2" shapeId="0" xr:uid="{4EC2991B-8824-4FB7-8B5C-2B4B76E5B3D4}">
      <text>
        <r>
          <rPr>
            <sz val="11"/>
            <color theme="1"/>
            <rFont val="Aptos Narrow"/>
            <family val="2"/>
            <scheme val="minor"/>
          </rPr>
          <t>Zohaib Sheikh:
-10% for Other Operations pharmacy revenue across all years reflects the small, immaterial line ($54M in 2025) and I assumed continued runoff.</t>
        </r>
      </text>
    </comment>
    <comment ref="AB9" authorId="2" shapeId="0" xr:uid="{FC9344B4-2537-4BE6-BF8C-F84F9A5560F8}">
      <text>
        <r>
          <rPr>
            <sz val="11"/>
            <color theme="1"/>
            <rFont val="Aptos Narrow"/>
            <family val="2"/>
            <scheme val="minor"/>
          </rPr>
          <t>Zohaib Sheikh:
-10% for Other Operations pharmacy revenue across all years reflects the small, immaterial line ($54M in 2025) and I assumed continued runoff.</t>
        </r>
      </text>
    </comment>
    <comment ref="AC9" authorId="2" shapeId="0" xr:uid="{145DD2C2-1479-47BB-85F7-6B0C83B0E3A1}">
      <text>
        <r>
          <rPr>
            <sz val="11"/>
            <color theme="1"/>
            <rFont val="Aptos Narrow"/>
            <family val="2"/>
            <scheme val="minor"/>
          </rPr>
          <t>Zohaib Sheikh:
-10% for Other Operations pharmacy revenue across all years reflects the small, immaterial line ($54M in 2025) and I assumed continued runoff.</t>
        </r>
      </text>
    </comment>
    <comment ref="AD9" authorId="2" shapeId="0" xr:uid="{B42AC596-D591-4ED6-AAD3-D4C4803A6A20}">
      <text>
        <r>
          <rPr>
            <sz val="11"/>
            <color theme="1"/>
            <rFont val="Aptos Narrow"/>
            <family val="2"/>
            <scheme val="minor"/>
          </rPr>
          <t>Zohaib Sheikh:
-10% for Other Operations pharmacy revenue across all years reflects the small, immaterial line ($54M in 2025) and I assumed continued runoff.</t>
        </r>
      </text>
    </comment>
    <comment ref="AE9" authorId="2" shapeId="0" xr:uid="{F220D0A8-65D4-4E9B-96C5-2613D3A15864}">
      <text>
        <r>
          <rPr>
            <sz val="11"/>
            <color theme="1"/>
            <rFont val="Aptos Narrow"/>
            <family val="2"/>
            <scheme val="minor"/>
          </rPr>
          <t>Zohaib Sheikh:
-10% for Other Operations pharmacy revenue across all years reflects the small, immaterial line ($54M in 2025) and I assumed continued runoff.</t>
        </r>
      </text>
    </comment>
    <comment ref="AH9" authorId="3" shapeId="0" xr:uid="{818CC5B2-1041-4060-906C-2754F4AF6C9C}">
      <text>
        <r>
          <rPr>
            <sz val="11"/>
            <color rgb="FF000000"/>
            <rFont val="Aptos Narrow"/>
            <family val="2"/>
          </rPr>
          <t xml:space="preserve">Karishma Shah:
</t>
        </r>
        <r>
          <rPr>
            <sz val="11"/>
            <color rgb="FF000000"/>
            <rFont val="Aptos Narrow"/>
            <family val="2"/>
          </rPr>
          <t xml:space="preserve">In 2026, I project Other Operations growth of -10.0% and keep it flat because this is not a true operating growth segment. Unlike core segments such as Evernorth and Cigna Healthcare, this category mainly includes corporate costs, intersegment eliminations, and other non-core or special items rather than recurring business activity. The Cigna Group notes in its 10-K that certain items in this category are not representative of underlying operations and are often excluded from adjusted results, meaning they are driven more by accounting and financial factors than demand (10-K, segment discussion and special items).
</t>
        </r>
        <r>
          <rPr>
            <sz val="11"/>
            <color rgb="FF000000"/>
            <rFont val="Aptos Narrow"/>
            <family val="2"/>
          </rPr>
          <t xml:space="preserve">
</t>
        </r>
        <r>
          <rPr>
            <sz val="11"/>
            <color rgb="FF000000"/>
            <rFont val="Aptos Narrow"/>
            <family val="2"/>
          </rPr>
          <t>Since this segment does not have clear drivers like pricing, membership, or utilization, it does not make sense to model it with traditional growth assumptions. Instead, it is more appropriate to keep it flat and negative to reflect its role as a consistent corporate-level drag. This aligns with how the segment is structured and presented in the 10-K, making it a realistic base case assumption.</t>
        </r>
      </text>
    </comment>
    <comment ref="T10" authorId="1" shapeId="0" xr:uid="{1CCCD82C-F2DB-5F4E-9AC1-50B9848AF9EB}">
      <text>
        <r>
          <rPr>
            <b/>
            <sz val="10"/>
            <color rgb="FF000000"/>
            <rFont val="Tahoma"/>
            <family val="2"/>
          </rPr>
          <t>Ninaad Hadge:</t>
        </r>
        <r>
          <rPr>
            <sz val="10"/>
            <color rgb="FF000000"/>
            <rFont val="Tahoma"/>
            <family val="2"/>
          </rPr>
          <t xml:space="preserve">
</t>
        </r>
        <r>
          <rPr>
            <sz val="10"/>
            <color rgb="FF000000"/>
            <rFont val="Aptos Narrow"/>
            <family val="2"/>
            <scheme val="minor"/>
          </rPr>
          <t>In 2026, I project Intercompany Eliminations growth of -22% because recent results show this line is still under pressure and can move sharply year to year with a more optimisitc outlook on growth as it is internalized adjustments(10-K, p. 113–115</t>
        </r>
        <r>
          <rPr>
            <sz val="10"/>
            <color rgb="FF000000"/>
            <rFont val="Aptos Narrow"/>
            <family val="2"/>
            <scheme val="minor"/>
          </rPr>
          <t xml:space="preserve"> )</t>
        </r>
        <r>
          <rPr>
            <sz val="10"/>
            <color rgb="FF000000"/>
            <rFont val="Aptos Narrow"/>
            <family val="2"/>
            <scheme val="minor"/>
          </rPr>
          <t xml:space="preserve"> while also keeping it negative to gice realistic optimism
</t>
        </r>
        <r>
          <rPr>
            <sz val="10"/>
            <color rgb="FF000000"/>
            <rFont val="Aptos Narrow"/>
            <family val="2"/>
            <scheme val="minor"/>
          </rPr>
          <t xml:space="preserve">
</t>
        </r>
      </text>
    </comment>
    <comment ref="AA10" authorId="2" shapeId="0" xr:uid="{D7CECB49-A02A-4D6F-BEA8-A4FB905503ED}">
      <text>
        <r>
          <rPr>
            <sz val="11"/>
            <color theme="1"/>
            <rFont val="Aptos Narrow"/>
            <family val="2"/>
            <scheme val="minor"/>
          </rPr>
          <t>Zohaib Sheikh:
I'm projecting -32% for intercompany eliminations in 2026 bear case. The HCSC transaction removed significant internal pharmacy volumes tied to Medicare plans. As Cigna Healthcare shrinks post-divestiture, fewer internal scripts flow through Evernorth, reducing eliminations faster than base.</t>
        </r>
      </text>
    </comment>
    <comment ref="AB10" authorId="2" shapeId="0" xr:uid="{97D56750-FC0A-45B5-801F-76B966381CCB}">
      <text>
        <r>
          <rPr>
            <sz val="11"/>
            <color theme="1"/>
            <rFont val="Aptos Narrow"/>
            <family val="2"/>
            <scheme val="minor"/>
          </rPr>
          <t>Zohaib Sheikh:
I believe -27% reflects the continued decrease in internal PBM volumes as the post-HCSC Cigna Healthcare book is smaller, generating fewer intercompany pharmacy transactions.</t>
        </r>
      </text>
    </comment>
    <comment ref="AC10" authorId="2" shapeId="0" xr:uid="{0F5250B8-ED27-42EA-B215-1B5035C15E37}">
      <text>
        <r>
          <rPr>
            <sz val="11"/>
            <color theme="1"/>
            <rFont val="Aptos Narrow"/>
            <family val="2"/>
            <scheme val="minor"/>
          </rPr>
          <t>Zohaib Sheikh:
I believe -23% as the elimination line stabilizes at a lower level, though still declining as Cigna HC continues to lose market share in the bear scenario.</t>
        </r>
      </text>
    </comment>
    <comment ref="AD10" authorId="2" shapeId="0" xr:uid="{2351C5CF-FFB8-470B-8109-CC57EE9C1797}">
      <text>
        <r>
          <rPr>
            <sz val="11"/>
            <color theme="1"/>
            <rFont val="Aptos Narrow"/>
            <family val="2"/>
            <scheme val="minor"/>
          </rPr>
          <t>Zohaib Sheikh:
 believe -18% is appropriate as the elimination base normalizes at a lower level.</t>
        </r>
      </text>
    </comment>
    <comment ref="AE10" authorId="2" shapeId="0" xr:uid="{D89F050E-7E57-47B3-A223-B7AD46C24FA1}">
      <text>
        <r>
          <rPr>
            <sz val="11"/>
            <color theme="1"/>
            <rFont val="Aptos Narrow"/>
            <family val="2"/>
            <scheme val="minor"/>
          </rPr>
          <t>Zohaib Sheikh:
I believe holding at -18% reflects the steady state intercompany volume in the bear case with a smaller Cigna Healthcare segment.</t>
        </r>
      </text>
    </comment>
    <comment ref="AH10" authorId="3" shapeId="0" xr:uid="{A2A3B953-B4C6-4701-8846-C1D0EFC1FCD6}">
      <text>
        <r>
          <rPr>
            <sz val="11"/>
            <color rgb="FF000000"/>
            <rFont val="Aptos Narrow"/>
            <family val="2"/>
          </rPr>
          <t xml:space="preserve">Karishma Shah:
</t>
        </r>
        <r>
          <rPr>
            <sz val="11"/>
            <color rgb="FF000000"/>
            <rFont val="Aptos Narrow"/>
            <family val="2"/>
          </rPr>
          <t>In 2026, I project Intercompany Eliminations growth of -24.5% because recent results show this line is still under pressure and can move sharply year to year. In The Cigna Group 2025 10-K, “Corporate and eliminations” within pharmacy revenues improved from $(5,050) million in 2023 to $(4,059) million in 2024 to $(2,776) million in 2025, while “Corporate and eliminations” within fees and other revenues moved from $(5,025) million to $(4,868) million to $(5,684) million, showing that this line can improve in one area and worsen in another depending on internal segment activity and reporting mix (10-K, p. 113–115). The 10-K also shows that Cigna separates these corporate items from core segment performance and excludes certain non-core items from adjusted results because they are not indicative of underlying operations (p. 42–44). Since this line is driven by internal adjustments rather than demand, I do not assume a quick recovery and keep it meaningfully negative.</t>
        </r>
      </text>
    </comment>
    <comment ref="AI10" authorId="3" shapeId="0" xr:uid="{0FB6C52A-B462-4B82-B894-6D8FF5A5A313}">
      <text>
        <r>
          <rPr>
            <sz val="11"/>
            <color theme="1"/>
            <rFont val="Aptos Narrow"/>
            <family val="2"/>
            <scheme val="minor"/>
          </rPr>
          <t>Karishma Shah:
Intercompany eliminations exist to remove transactions between segments and avoid double counting, which means their size depends on internal activity rather than external demand (10-K, p. 42–44). Since the 10-K does not indicate any structural change to how segments interact, and management continues to focus growth on Evernorth and Cigna Healthcare, I do not expect a sharp reversal. Instead, I assume gradual improvement as extreme volatility begins to ease.</t>
        </r>
      </text>
    </comment>
    <comment ref="AJ10" authorId="3" shapeId="0" xr:uid="{DBB8F26B-2EFF-4191-92D0-04720CA85B64}">
      <text>
        <r>
          <rPr>
            <sz val="11"/>
            <color theme="1"/>
            <rFont val="Aptos Narrow"/>
            <family val="2"/>
            <scheme val="minor"/>
          </rPr>
          <t>Karishma Shah:
The 10-K shows that corporate and elimination balances remain consistently negative across multiple categories (p. 113–115), reinforcing that this is a structural adjustment rather than a business driver. Since this line is not influenced by pricing, membership, or utilization, I do not expect meaningful upside. My approach is to continue reducing the severity of the decline while avoiding large swings.</t>
        </r>
      </text>
    </comment>
    <comment ref="AK10" authorId="3" shapeId="0" xr:uid="{E7C45295-E1C2-49DB-AF68-8509D731E7DC}">
      <text>
        <r>
          <rPr>
            <sz val="11"/>
            <color theme="1"/>
            <rFont val="Aptos Narrow"/>
            <family val="2"/>
            <scheme val="minor"/>
          </rPr>
          <t>Karishma Shah:
I project growth of -12.0% as the line moves closer to a normalized range. The historical pattern of large swings followed by stabilization, combined with the 10-K’s presentation of eliminations as part of corporate adjustments (p. 42–44), supports the idea that this line should settle into a consistent negative level over time. At this point, most of the earlier volatility is absorbed, so I reduce the magnitude of the decline further.</t>
        </r>
      </text>
    </comment>
    <comment ref="T15" authorId="0" shapeId="0" xr:uid="{D5E97FBC-6342-404D-BD75-4962736E8B4D}">
      <text>
        <r>
          <rPr>
            <b/>
            <sz val="9"/>
            <color rgb="FF000000"/>
            <rFont val="Tahoma"/>
            <family val="2"/>
          </rPr>
          <t>Matthew DiCarlo:</t>
        </r>
        <r>
          <rPr>
            <sz val="9"/>
            <color rgb="FF000000"/>
            <rFont val="Tahoma"/>
            <family val="2"/>
          </rPr>
          <t xml:space="preserve">
</t>
        </r>
        <r>
          <rPr>
            <sz val="9"/>
            <color rgb="FF000000"/>
            <rFont val="Tahoma"/>
            <family val="2"/>
          </rPr>
          <t>8.0% growth in 2026 because the main driver here is still premium pricing, not membership, and we’re in a period where pricing is elevated. In its 10-K, The Cigna Group clearly states that premium revenue is driven by premium rate increases and membership (10-K, p. 42–44), and also calls out rising costs from utilization, provider pricing, and specialty drugs (p. 18, p. 45). While rates increase, this could signal growth potential, but also customer loss in the future which is why I am taking higher than normal driver for 2026, but on a slowed growth over the next 4 years after.</t>
        </r>
      </text>
    </comment>
    <comment ref="U15" authorId="0" shapeId="0" xr:uid="{C56E7BBA-C042-4975-BEA7-64F6724A4E97}">
      <text>
        <r>
          <rPr>
            <b/>
            <sz val="9"/>
            <color indexed="81"/>
            <rFont val="Tahoma"/>
            <family val="2"/>
          </rPr>
          <t>Matthew DiCarlo:</t>
        </r>
        <r>
          <rPr>
            <sz val="9"/>
            <color indexed="81"/>
            <rFont val="Tahoma"/>
            <family val="2"/>
          </rPr>
          <t xml:space="preserve">
Since partnering with Evernorth, Cigna provies solutions that create value and savings for customers. With customers looking for the best possible deal, I believe that Cigna will continue to shine and growth will continue in the insured segment however I do believe it will slow, hence the .25 decrease in growth. Plans are that Evernorth does become a main priority which could effect segments like this.</t>
        </r>
      </text>
    </comment>
    <comment ref="AA15" authorId="2" shapeId="0" xr:uid="{59DBC06B-0E3D-418E-B426-6AB583F06657}">
      <text>
        <r>
          <rPr>
            <sz val="11"/>
            <color theme="1"/>
            <rFont val="Aptos Narrow"/>
            <family val="2"/>
            <scheme val="minor"/>
          </rPr>
          <t>Zohaib Sheikh:
Historically this line grew 7-10% during FY2021-2025, but that was supported by a strong labor market driving employer-sponsored enrollment. In a recession, employer headcount cuts would offset rate increases. The base case at 8% assumes that favorable environment continues, which I don't think holds in a bear scenario.</t>
        </r>
      </text>
    </comment>
    <comment ref="AH15" authorId="3" shapeId="0" xr:uid="{2BC2BC90-AD24-43D9-B933-32917D475219}">
      <text>
        <r>
          <rPr>
            <sz val="11"/>
            <color theme="1"/>
            <rFont val="Aptos Narrow"/>
            <family val="2"/>
            <scheme val="minor"/>
          </rPr>
          <t>Karishma Shah:
8.0% growth in 2026 because the main driver here is still premium pricing, not membership, and we’re in a period where pricing is elevated. In its 10-K, The Cigna Group clearly states that premium revenue is driven by premium rate increases and membership (10-K, p. 42–44), and also calls out rising costs from utilization, provider pricing, and specialty drugs (p. 18, p. 45). My thinking is that even if the economy is uncertain, insurers don’t absorb these costs, they pass them through. Employer plans reset annually, so Cigna can reprice and keep revenue growth high. That’s why I’m comfortable being above the historical average here.</t>
        </r>
      </text>
    </comment>
    <comment ref="AI15" authorId="3" shapeId="0" xr:uid="{035391B2-80B4-4D51-817C-F8FC3F9EE31A}">
      <text>
        <r>
          <rPr>
            <sz val="11"/>
            <color rgb="FF000000"/>
            <rFont val="Aptos Narrow"/>
            <family val="2"/>
          </rPr>
          <t xml:space="preserve">Karishma Shah:
</t>
        </r>
        <r>
          <rPr>
            <sz val="11"/>
            <color rgb="FF000000"/>
            <rFont val="Aptos Narrow"/>
            <family val="2"/>
          </rPr>
          <t>Growth moderates slightly to 7.5% in 2027. The 10-K explains that premiums are set based on expected future costs, which creates a lag (p. 44). So even if cost growth starts slowing, pricing still reflects earlier inflation. My logic here is that we’re still benefiting from that lag effect, but not at peak levels anymore. Medical costs are still rising (p. 18–19), so growth stays above normal, just slightly lower than 2026.</t>
        </r>
      </text>
    </comment>
    <comment ref="AJ15" authorId="3" shapeId="0" xr:uid="{B2B0EFE8-3309-4F67-A958-E1D754843DD4}">
      <text>
        <r>
          <rPr>
            <sz val="11"/>
            <color theme="1"/>
            <rFont val="Aptos Narrow"/>
            <family val="2"/>
            <scheme val="minor"/>
          </rPr>
          <t>Karishma Shah:
By 2028, I bring growth down to 6.8% because things start to normalize. At this point, I’m thinking less about short-term pricing spikes and more about the structure of the business. The 10-K shows that Cigna is shifting toward Evernorth as a bigger growth driver (p. 3–5, p. 30). So even if insured premiums are still growing, they’re not the main focus anymore. Also, the employer market is mature, meaning you’re not getting real volume growth, just pricing. With pricing cooling, growth naturally steps down.</t>
        </r>
      </text>
    </comment>
    <comment ref="AK15" authorId="3" shapeId="0" xr:uid="{BE846BA2-DABE-4136-AA8B-04F93658E0A7}">
      <text>
        <r>
          <rPr>
            <sz val="11"/>
            <color rgb="FF000000"/>
            <rFont val="Aptos Narrow"/>
            <family val="2"/>
          </rPr>
          <t xml:space="preserve">Karishma Shah:
</t>
        </r>
        <r>
          <rPr>
            <sz val="11"/>
            <color rgb="FF000000"/>
            <rFont val="Aptos Narrow"/>
            <family val="2"/>
          </rPr>
          <t>I take it down further to 6.3% because now we’re clearly in a more normal environment. The 10-K highlights that this is a competitive market, where pricing depends on employer demand (p. 19, p. 31). My thinking here is that employers start pushing back more on higher premiums, so insurers can’t raise prices as aggressively. At the same time, since Cigna is leaning more into services, insured growth becomes less important to the overall company, which also supports a gradual slowdown.</t>
        </r>
      </text>
    </comment>
    <comment ref="T16" authorId="0" shapeId="0" xr:uid="{ED7642A8-B506-4E9C-BD63-15513C10D069}">
      <text>
        <r>
          <rPr>
            <b/>
            <sz val="9"/>
            <color rgb="FF000000"/>
            <rFont val="Tahoma"/>
            <family val="2"/>
          </rPr>
          <t>Matthew DiCarlo:</t>
        </r>
        <r>
          <rPr>
            <sz val="9"/>
            <color rgb="FF000000"/>
            <rFont val="Tahoma"/>
            <family val="2"/>
          </rPr>
          <t xml:space="preserve">
From Cigna website," The stop loss segment for Cigna refers to the part of its business that provides stop loss insurance, which is designed to protect employers who self-fund their medical plan benefits. This segment is crucial for safeguarding employers against unusually high health plan costs, particularly in the face of rising medical claims and shifting carrier strategies. Cigna's stop loss insurance products include Individual and Aggregate Stop Loss, which limit an employer's claim liability on each individual or the entire covered population to a set dollar amount per policy year. These products are essential for employers to manage the financial risks associated with high medical claims and ensure they have the necessary coverage to protect their employees' health benefits." Since this is designed to help save money by providing loss on insurance and there are no future plans, I am going to project a .25% increase starting at previous year percentage. They offer a Paid Contract where claims accumulate to stop loss limits based on the paid date. The paid contract covers eligible claims paid during the active policy year, so long as the claims were incurred after the original policy effective date. The paid contract is available with Individual Stop loss and Aggregate stop loss.</t>
        </r>
      </text>
    </comment>
    <comment ref="AA16" authorId="2" shapeId="0" xr:uid="{FFEFC3C9-7778-4AD9-8F4C-194392E2B34F}">
      <text>
        <r>
          <rPr>
            <sz val="11"/>
            <color theme="1"/>
            <rFont val="Aptos Narrow"/>
            <family val="2"/>
            <scheme val="minor"/>
          </rPr>
          <t>Zohaib Sheikh:
I believe 9% stop loss growth is appropriate for the bear case. This product has been a growth engine at 5.5-6.7% historically, but new entrants and increasing price competition are slowing the momentum. The base case at 12.5% is aggressive and assumes the competitive dynamics don't change.</t>
        </r>
      </text>
    </comment>
    <comment ref="AH16" authorId="3" shapeId="0" xr:uid="{8147479E-7BBF-41DB-8BAC-1790F5C3D33F}">
      <text>
        <r>
          <rPr>
            <sz val="11"/>
            <color theme="1"/>
            <rFont val="Aptos Narrow"/>
            <family val="2"/>
            <scheme val="minor"/>
          </rPr>
          <t>Karishma Shah:
In 2026, I project Stop Loss growth of 12.5% by anchoring to the most recent performance of 12.68%. The change is only 0.18%, which is essentially flat year over year. The historical range is very tight, from 9.78% to 12.68%, a spread of 2.90%, showing this is a stable business rather than one that experiences large swings. The Cigna Group states in its 10-K that revenue is driven by premium rate increases and membership (10-K, p. 42–44), while also highlighting rising medical costs from utilization and provider pricing (p. 18). These cost pressures increase the need for stop loss coverage, so there is no reason to assume an immediate decline. As a result, I keep 2026 growth very close to the most recent year.</t>
        </r>
      </text>
    </comment>
    <comment ref="AI16" authorId="3" shapeId="0" xr:uid="{F6BF3258-1340-4483-819C-C7DF748D6BE6}">
      <text>
        <r>
          <rPr>
            <sz val="11"/>
            <color theme="1"/>
            <rFont val="Aptos Narrow"/>
            <family val="2"/>
            <scheme val="minor"/>
          </rPr>
          <t>Karishma Shah:
In 2027, I project growth of 11.5%, a 1.0% decline from 2026. This is still a small move relative to the historical spread of 2.90%, so it reflects a controlled step-down rather than a sharp drop. While the 10-K shows that medical cost pressures continue (p. 18, p. 45), these same pressures can create affordability concerns over time, which may limit how much pricing can increase. As a result, growth remains strong but begins to move slightly away from peak levels.</t>
        </r>
      </text>
    </comment>
    <comment ref="AJ16" authorId="3" shapeId="0" xr:uid="{9D6F4274-441D-4F3E-B009-FA5230B8FDD9}">
      <text>
        <r>
          <rPr>
            <sz val="11"/>
            <color theme="1"/>
            <rFont val="Aptos Narrow"/>
            <family val="2"/>
            <scheme val="minor"/>
          </rPr>
          <t>Karishma Shah:
At this level, growth is still well within the historical range and close to prior performance. The 10-K continues to show that revenue depends on pricing and membership (p. 42–44), but without new drivers, growth is unlikely to remain at the top end of the range. This supports a modest decline rather than a large change.</t>
        </r>
      </text>
    </comment>
    <comment ref="AK16" authorId="3" shapeId="0" xr:uid="{F88300B0-7D8E-4BEC-96B1-B9A09FB650C9}">
      <text>
        <r>
          <rPr>
            <sz val="11"/>
            <color theme="1"/>
            <rFont val="Aptos Narrow"/>
            <family val="2"/>
            <scheme val="minor"/>
          </rPr>
          <t>Karishma Shah:
In 2029, I project growth of 10.5%, a 0.5% decrease from 2028. At this point, the segment has already moved off its recent high of 12.68% and is settling into a narrower band closer to the middle of its historical range. Another way to look at it is that the distance from the peak has now reached:
12.68% − 10.5% = 2.18%
which shows most of the normalization has already happened. From here, I am no longer modeling a demand shift, but more of a structural balance between pricing and risk. As employers adjust to consistently higher medical costs, stop loss becomes a standard part of plan design rather than a reactive purchase. The 10-K supports this by showing that revenue is tied to ongoing premium structures and covered lives (p. 42–44), meaning growth becomes more predictable once the system adjusts. Because of that, I step it down slightly, but not aggressively, since the product is now embedded in employer coverage strategies rather than driven by short-term cost spikes.</t>
        </r>
      </text>
    </comment>
    <comment ref="T17" authorId="1" shapeId="0" xr:uid="{B119BCF5-E934-A04F-816E-C9B931559DB1}">
      <text>
        <r>
          <rPr>
            <b/>
            <sz val="10"/>
            <color rgb="FF000000"/>
            <rFont val="Tahoma"/>
            <family val="2"/>
          </rPr>
          <t>Ninaad Hadge:</t>
        </r>
        <r>
          <rPr>
            <sz val="10"/>
            <color rgb="FF000000"/>
            <rFont val="Tahoma"/>
            <family val="2"/>
          </rPr>
          <t xml:space="preserve">
</t>
        </r>
        <r>
          <rPr>
            <sz val="10"/>
            <color rgb="FF000000"/>
            <rFont val="Tahoma"/>
            <family val="2"/>
          </rPr>
          <t xml:space="preserve">Took average of 3 to 5 years
</t>
        </r>
      </text>
    </comment>
    <comment ref="AA17" authorId="2" shapeId="0" xr:uid="{F49AEF69-E34D-4C50-A411-53B8EBD1A72F}">
      <text>
        <r>
          <rPr>
            <sz val="11"/>
            <color theme="1"/>
            <rFont val="Aptos Narrow"/>
            <family val="2"/>
            <scheme val="minor"/>
          </rPr>
          <t>Zohaib Sheikh:
-20% — IFP dropped 15% in '25 ($3.4B vs $4B) as post-COVID SEP enrollment normalized. Exchange competition + adverse selection accelerate the decline.</t>
        </r>
      </text>
    </comment>
    <comment ref="AH17" authorId="3" shapeId="0" xr:uid="{1AD76AAD-1EA6-4A39-AD6E-DB7CC1BCA598}">
      <text>
        <r>
          <rPr>
            <sz val="11"/>
            <color rgb="FF000000"/>
            <rFont val="Aptos Narrow"/>
            <family val="2"/>
          </rPr>
          <t xml:space="preserve">Karishma Shah:
</t>
        </r>
        <r>
          <rPr>
            <sz val="11"/>
            <color rgb="FF000000"/>
            <rFont val="Aptos Narrow"/>
            <family val="2"/>
          </rPr>
          <t xml:space="preserve">In 2026, I project Other growth of -15.0% because I treat the prior spike as non-recurring and anchor the forecast to the size of the reversal already shown in the 10-K. In The Cigna Group filings, “Corporate and eliminations” in pharmacy revenues moved from $(5,050) million in 2023 to $(2,776) million in 2025, which is:
</t>
        </r>
        <r>
          <rPr>
            <sz val="11"/>
            <color rgb="FF000000"/>
            <rFont val="Aptos Narrow"/>
            <family val="2"/>
          </rPr>
          <t xml:space="preserve">
</t>
        </r>
        <r>
          <rPr>
            <sz val="11"/>
            <color rgb="FF000000"/>
            <rFont val="Aptos Narrow"/>
            <family val="2"/>
          </rPr>
          <t xml:space="preserve">$(2,776) - ($(5,050)) = +$2,274 million
</t>
        </r>
        <r>
          <rPr>
            <sz val="11"/>
            <color rgb="FF000000"/>
            <rFont val="Aptos Narrow"/>
            <family val="2"/>
          </rPr>
          <t xml:space="preserve">
</t>
        </r>
        <r>
          <rPr>
            <sz val="11"/>
            <color rgb="FF000000"/>
            <rFont val="Aptos Narrow"/>
            <family val="2"/>
          </rPr>
          <t xml:space="preserve">At the same time, “Corporate and eliminations” in fees and other revenues moved from $(4,868) million in 2024 to $(5,684) million in 2025, which is:
</t>
        </r>
        <r>
          <rPr>
            <sz val="11"/>
            <color rgb="FF000000"/>
            <rFont val="Aptos Narrow"/>
            <family val="2"/>
          </rPr>
          <t xml:space="preserve">
</t>
        </r>
        <r>
          <rPr>
            <sz val="11"/>
            <color rgb="FF000000"/>
            <rFont val="Aptos Narrow"/>
            <family val="2"/>
          </rPr>
          <t xml:space="preserve">$(5,684) - ($(4,868)) = -$816 million
</t>
        </r>
        <r>
          <rPr>
            <sz val="11"/>
            <color rgb="FF000000"/>
            <rFont val="Aptos Narrow"/>
            <family val="2"/>
          </rPr>
          <t xml:space="preserve">
</t>
        </r>
        <r>
          <rPr>
            <sz val="11"/>
            <color rgb="FF000000"/>
            <rFont val="Aptos Narrow"/>
            <family val="2"/>
          </rPr>
          <t>This shows that even within related lines, movements of over $2 billion in one direction and $800 million in the other can happen at the same time, meaning this category is driven by internal adjustments rather than stable demand (10-K, p. 113–115). Since the most recent growth rates are -22.35% and -14.68%, I anchor 2026 close to that range instead of assuming recovery.</t>
        </r>
      </text>
    </comment>
    <comment ref="AI17" authorId="3" shapeId="0" xr:uid="{D229F1C3-60BA-49EF-B305-02BFB33FCF06}">
      <text>
        <r>
          <rPr>
            <sz val="11"/>
            <color theme="1"/>
            <rFont val="Aptos Narrow"/>
            <family val="2"/>
            <scheme val="minor"/>
          </rPr>
          <t>Karishma Shah:
I project growth of -10.0% by reducing the magnitude of the decline as the large adjustments begin to normalize. From the prior step, the combined swing between categories is:
$2,274 million - $816 million = $1,458 million net movement
That scale of movement suggests the majority of the correction from the spike has already happened. Since the 10-K does not indicate any structural drivers for this line, I assume smaller adjustments going forward. Moving from -15.0% to -10.0% reflects a +5.0% improvement, which is reasonable given that the largest dollar swings have already occurred.</t>
        </r>
      </text>
    </comment>
    <comment ref="AJ17" authorId="3" shapeId="0" xr:uid="{058A233F-CD98-49FB-BDBF-C7E1211F7BED}">
      <text>
        <r>
          <rPr>
            <sz val="11"/>
            <color theme="1"/>
            <rFont val="Aptos Narrow"/>
            <family val="2"/>
            <scheme val="minor"/>
          </rPr>
          <t>Karishma Shah:
By 2028, I project growth of -8.0%, continuing the normalization trend but at a slower pace. The improvement from 2027 is:
-10.0% → -8.0% = +2.0%
This smaller step reflects the idea that once multi-billion dollar adjustments are absorbed, future changes become more incremental. Since these items are not tied to pricing, membership, or utilization (10-K, p. 42–44), I do not assume a full recovery, just continued stabilization.</t>
        </r>
      </text>
    </comment>
    <comment ref="AK17" authorId="3" shapeId="0" xr:uid="{B9AE99DA-531F-4F27-93AF-64B327261E99}">
      <text>
        <r>
          <rPr>
            <sz val="11"/>
            <color theme="1"/>
            <rFont val="Aptos Narrow"/>
            <family val="2"/>
            <scheme val="minor"/>
          </rPr>
          <t>Karishma Shah:
This shows that most of the adjustment has already taken place. At this stage, I am no longer modeling a correction from the spike, but rather a stable level where only smaller fluctuations remain. Because prior dollar swings were in the billions, I assume those large movements are no longer repeating.</t>
        </r>
      </text>
    </comment>
    <comment ref="T20" authorId="4" shapeId="0" xr:uid="{90D61AF2-872D-45CE-97B7-CC4CA7D4BB62}">
      <text>
        <r>
          <rPr>
            <b/>
            <sz val="9"/>
            <color rgb="FF000000"/>
            <rFont val="Tahoma"/>
            <family val="2"/>
          </rPr>
          <t xml:space="preserve">Nick Wan:
</t>
        </r>
        <r>
          <rPr>
            <sz val="9"/>
            <color rgb="FF000000"/>
            <rFont val="Tahoma"/>
            <family val="2"/>
          </rPr>
          <t>Following the divestiture of the Medicare Advantage and related businesses in March 2025, the bull case assumes a more gradual decline in YoY revenue, reflecting a longer tail of activity. This includes potential revenue from transition service agreements, delayed settlements, and temporary administrative support provided post-transaction. In this scenario, revenue decreases at a slower pace as contractual obligations are fulfilled over time, before ultimately trending toward zero as all remaining activities will be done.</t>
        </r>
      </text>
    </comment>
    <comment ref="AA20" authorId="4" shapeId="0" xr:uid="{B15B8D2C-31BD-4E78-A836-3F71C19D6028}">
      <text>
        <r>
          <rPr>
            <b/>
            <sz val="9"/>
            <color rgb="FF000000"/>
            <rFont val="Tahoma"/>
            <family val="2"/>
          </rPr>
          <t xml:space="preserve">Nick Wan:
</t>
        </r>
        <r>
          <rPr>
            <sz val="9"/>
            <color rgb="FF000000"/>
            <rFont val="Tahoma"/>
            <family val="2"/>
          </rPr>
          <t>Following the March 2025 divestiture of the Medicare Advantage and related businesses, the bear case assumes a rapid decline in YoY revenue, reflecting a near-complete exit from the segment by 2028. This scenario assumes that any remaining revenue is limited to short-term transition service agreements and minimal residual activity, which are quickly phased out. As a result, revenue is expected to decline sharply and approach zero within a short time frame.</t>
        </r>
      </text>
    </comment>
    <comment ref="AH20" authorId="4" shapeId="0" xr:uid="{C24BAE2F-C1FB-4ECE-A000-3EDAE1174A8E}">
      <text>
        <r>
          <rPr>
            <b/>
            <sz val="9"/>
            <color rgb="FF000000"/>
            <rFont val="Tahoma"/>
            <family val="2"/>
          </rPr>
          <t xml:space="preserve">Nick Wan:
</t>
        </r>
        <r>
          <rPr>
            <sz val="9"/>
            <color rgb="FF000000"/>
            <rFont val="Tahoma"/>
            <family val="2"/>
          </rPr>
          <t xml:space="preserve">"Includes individuals who are Medicare-eligible, as well as employer group-sponsored post-65 retirees." - 2025 10k pg 7.
</t>
        </r>
        <r>
          <rPr>
            <sz val="9"/>
            <color rgb="FF000000"/>
            <rFont val="Tahoma"/>
            <family val="2"/>
          </rPr>
          <t xml:space="preserve">
</t>
        </r>
        <r>
          <rPr>
            <sz val="9"/>
            <color rgb="FF000000"/>
            <rFont val="Tahoma"/>
            <family val="2"/>
          </rPr>
          <t xml:space="preserve">In 2025, Cigna Group sold their Medicare Advantage and other CareAllies businesses to Health Care Service Corporation (HCSC). With this said, Medicare Advantage is no longer a growth driver for Cigna since they have exited the business. Medicare Advantage should be decreasing.
</t>
        </r>
        <r>
          <rPr>
            <sz val="9"/>
            <color rgb="FF000000"/>
            <rFont val="Tahoma"/>
            <family val="2"/>
          </rPr>
          <t xml:space="preserve">
</t>
        </r>
      </text>
    </comment>
    <comment ref="T21" authorId="4" shapeId="0" xr:uid="{A62C0072-C214-4A42-9788-EFAE16ED3ED4}">
      <text>
        <r>
          <rPr>
            <b/>
            <sz val="9"/>
            <color rgb="FF000000"/>
            <rFont val="Tahoma"/>
            <family val="2"/>
          </rPr>
          <t xml:space="preserve">Nick Wan:
</t>
        </r>
        <r>
          <rPr>
            <sz val="9"/>
            <color rgb="FF000000"/>
            <rFont val="Tahoma"/>
            <family val="2"/>
          </rPr>
          <t>The bull case assumes continued but moderated growth through 2028–2030, reflecting Cigna’s ability to adapt to regulatory changes under the Consolidated Appropriations Act, 2026. While the prohibition on list-price-linked compensation reduces traditional revenue streams, this scenario assumes that Cigna successfully transitions to service-fee-based models, enhanced pricing strategies, and operational efficiencies. Although growth slows relative to prior years, the segment remains stable to modestly positive, supported by continued demand for Medicare prescription drug coverage.</t>
        </r>
      </text>
    </comment>
    <comment ref="AA21" authorId="4" shapeId="0" xr:uid="{A1AC1A7B-3B72-48D2-9948-91BB0B9D9D74}">
      <text>
        <r>
          <rPr>
            <b/>
            <sz val="9"/>
            <color rgb="FF000000"/>
            <rFont val="Tahoma"/>
            <family val="2"/>
          </rPr>
          <t xml:space="preserve">Nick Wan:
</t>
        </r>
        <r>
          <rPr>
            <sz val="9"/>
            <color rgb="FF000000"/>
            <rFont val="Tahoma"/>
            <family val="2"/>
          </rPr>
          <t xml:space="preserve">The bear case assumes a decline in YoY growth beginning in 2028, driven by the implementation of provisions under the Consolidated Appropriations Act, 2026. These include the prohibition on PBM compensation linked to drug list prices, which significantly reduces rebate-driven revenue and compresses margins. Additional pressure in 2029 from the “any willing pharmacy” requirement is expected to further limit pricing flexibility and increase administrative complexity. In this scenario, PBMs are unable to fully offset lost revenue through service fees or operational adjustments, resulting in negative growth in the Medicare Part D business.
</t>
        </r>
      </text>
    </comment>
    <comment ref="AH21" authorId="4" shapeId="0" xr:uid="{D75D31A0-0089-4561-802B-1BFFC2400717}">
      <text>
        <r>
          <rPr>
            <b/>
            <sz val="9"/>
            <color indexed="81"/>
            <rFont val="Tahoma"/>
            <family val="2"/>
          </rPr>
          <t>Nick Wan:</t>
        </r>
        <r>
          <rPr>
            <sz val="9"/>
            <color indexed="81"/>
            <rFont val="Tahoma"/>
            <family val="2"/>
          </rPr>
          <t xml:space="preserve">
While growth was flat in 2024 and 2025, this was largely driven by the Medicare Advantage divestiture and a broader transition in business mix, rather than a lack of demand. As the company moves past this reset, 2026 should reflect modest growth driven by its core segments, particularly Evernorth and commercial insurance. However, upside remains limited due to ongoing headwinds in Medicare Part D and PBM operations, including regulatory changes, increased transparency requirements, and rising drug costs. As a result, we should expect stabilization and slight growth in revenue, but continued pressure on margins.</t>
        </r>
      </text>
    </comment>
    <comment ref="AI21" authorId="4" shapeId="0" xr:uid="{10A3FB43-B95D-4E7E-89CD-00BEBA437318}">
      <text>
        <r>
          <rPr>
            <b/>
            <sz val="9"/>
            <color indexed="81"/>
            <rFont val="Tahoma"/>
            <family val="2"/>
          </rPr>
          <t>Nick Wan:</t>
        </r>
        <r>
          <rPr>
            <sz val="9"/>
            <color indexed="81"/>
            <rFont val="Tahoma"/>
            <family val="2"/>
          </rPr>
          <t xml:space="preserve">
Slight growth is expected to be driven by its core businesses, particularly Evernorth and commercial insurance, which should benefit from steady demand and increased scale. However, like 2026, growth is expected to remain constrained by ongoing headwinds in the PBM and Medicare Part D segments, including rising drug costs and regulatory pressure.
</t>
        </r>
      </text>
    </comment>
    <comment ref="AJ21" authorId="4" shapeId="0" xr:uid="{52BC180F-356C-4515-8D07-267C34CB8E79}">
      <text>
        <r>
          <rPr>
            <b/>
            <sz val="9"/>
            <color indexed="81"/>
            <rFont val="Tahoma"/>
            <family val="2"/>
          </rPr>
          <t>Nick Wan:</t>
        </r>
        <r>
          <rPr>
            <sz val="9"/>
            <color indexed="81"/>
            <rFont val="Tahoma"/>
            <family val="2"/>
          </rPr>
          <t xml:space="preserve">
Beginning in January 2028, the Consolidated Appropriations Act, 2026, prohibits PBMs from receiving compensation directly or indirectly linked to the list price of covered Medicare Part D drugs, limiting PBM revenue to bona fide service fees. This change is expected to reduce PBM revenue and margin growth associated with Part D, resulting in a in a slight decrease in growth for 2028 compared to prior years. The ultimate impact will depend on future regulatory guidance and how PBMs adjust. 
- 2025 10k page 12</t>
        </r>
      </text>
    </comment>
    <comment ref="AK21" authorId="4" shapeId="0" xr:uid="{209CD008-2E45-4D9A-B748-97616F550A51}">
      <text>
        <r>
          <rPr>
            <b/>
            <sz val="9"/>
            <color indexed="81"/>
            <rFont val="Tahoma"/>
            <family val="2"/>
          </rPr>
          <t xml:space="preserve">Nick Wan:
</t>
        </r>
        <r>
          <rPr>
            <sz val="9"/>
            <color indexed="81"/>
            <rFont val="Tahoma"/>
            <family val="2"/>
          </rPr>
          <t>Beginning in January 2029, the Consolidated Appropriations Act, 2026, requires Medicare Part D plan sponsors to contract with any pharmacy willing and able to meet standard contract terms and conditions. Combined with the ongoing prohibition on PBM compensation linked to list prices, this provision is expected to further decrease PBM revenue and margins.
- 2025 10k pg 12</t>
        </r>
      </text>
    </comment>
    <comment ref="T22" authorId="4" shapeId="0" xr:uid="{1A357356-88FB-48C7-B93A-58DBB10F44B4}">
      <text>
        <r>
          <rPr>
            <b/>
            <sz val="9"/>
            <color rgb="FF000000"/>
            <rFont val="Tahoma"/>
            <family val="2"/>
          </rPr>
          <t>Nick Wan:</t>
        </r>
        <r>
          <rPr>
            <sz val="9"/>
            <color rgb="FF000000"/>
            <rFont val="Tahoma"/>
            <family val="2"/>
          </rPr>
          <t xml:space="preserve">
</t>
        </r>
        <r>
          <rPr>
            <sz val="9"/>
            <color rgb="FF000000"/>
            <rFont val="Tahoma"/>
            <family val="2"/>
          </rPr>
          <t>This scenario reflects slightly stronger-than-expected performance in non-Medicare Part</t>
        </r>
        <r>
          <rPr>
            <sz val="9"/>
            <color rgb="FF000000"/>
            <rFont val="Tahoma"/>
            <family val="2"/>
          </rPr>
          <t> </t>
        </r>
        <r>
          <rPr>
            <sz val="9"/>
            <color rgb="FF000000"/>
            <rFont val="Tahoma"/>
            <family val="2"/>
          </rPr>
          <t xml:space="preserve">D programs and smaller federal contracts. This scenario assumes that operational efficiency improvements, incremental PBM activity, and favorable contract renewals drive modest outperformance relative to the baseline. The segment remains largely unaffected from the provisions of the Consolidated Appropriations Act, 2026, allowing for steady, reliable growth.
</t>
        </r>
      </text>
    </comment>
    <comment ref="AA22" authorId="4" shapeId="0" xr:uid="{1A1BBB83-A156-45FA-B189-F612C962426D}">
      <text>
        <r>
          <rPr>
            <b/>
            <sz val="9"/>
            <color rgb="FF000000"/>
            <rFont val="Tahoma"/>
            <family val="2"/>
          </rPr>
          <t xml:space="preserve">Nick Wan:
</t>
        </r>
        <r>
          <rPr>
            <sz val="9"/>
            <color rgb="FF000000"/>
            <rFont val="Tahoma"/>
            <family val="2"/>
          </rPr>
          <t>This scenario reflects modest underperformance due to potential contract delays, minor operational challenges, or slower-than-expected PBM activity. Although the segment is not directly affected by the Consolidated Appropriations Act of 2026, this scenario captures potential variability in non-Medicare Part</t>
        </r>
        <r>
          <rPr>
            <sz val="9"/>
            <color rgb="FF000000"/>
            <rFont val="Tahoma"/>
            <family val="2"/>
          </rPr>
          <t> </t>
        </r>
        <r>
          <rPr>
            <sz val="9"/>
            <color rgb="FF000000"/>
            <rFont val="Tahoma"/>
            <family val="2"/>
          </rPr>
          <t>D programs and smaller federal contracts while still maintaining overall stability.</t>
        </r>
      </text>
    </comment>
    <comment ref="AH22" authorId="4" shapeId="0" xr:uid="{AACC4699-66C5-43A6-9040-9122FAA2325F}">
      <text>
        <r>
          <rPr>
            <b/>
            <sz val="9"/>
            <color rgb="FF000000"/>
            <rFont val="Tahoma"/>
            <family val="2"/>
          </rPr>
          <t>Nick Wan:</t>
        </r>
        <r>
          <rPr>
            <sz val="9"/>
            <color rgb="FF000000"/>
            <rFont val="Tahoma"/>
            <family val="2"/>
          </rPr>
          <t xml:space="preserve">
</t>
        </r>
        <r>
          <rPr>
            <sz val="9"/>
            <color rgb="FF000000"/>
            <rFont val="Tahoma"/>
            <family val="2"/>
          </rPr>
          <t>“Other” U.S. Government segment includes non-Medicare Part</t>
        </r>
        <r>
          <rPr>
            <sz val="9"/>
            <color rgb="FF000000"/>
            <rFont val="Tahoma"/>
            <family val="2"/>
          </rPr>
          <t> </t>
        </r>
        <r>
          <rPr>
            <sz val="9"/>
            <color rgb="FF000000"/>
            <rFont val="Tahoma"/>
            <family val="2"/>
          </rPr>
          <t xml:space="preserve">D programs and smaller federal contracts. This segment is not directly affected by the Consolidated Appropriations Act, 2026, and the  assumption reflects stable government program operations and baseline PBM activity. 
</t>
        </r>
      </text>
    </comment>
    <comment ref="T23" authorId="4" shapeId="0" xr:uid="{16257DDE-03D8-450B-B7A7-ABBEA7CCA441}">
      <text>
        <r>
          <rPr>
            <b/>
            <sz val="9"/>
            <color rgb="FF000000"/>
            <rFont val="Tahoma"/>
            <family val="2"/>
          </rPr>
          <t xml:space="preserve">Nick Wan:
</t>
        </r>
        <r>
          <rPr>
            <sz val="9"/>
            <color rgb="FF000000"/>
            <rFont val="Tahoma"/>
            <family val="2"/>
          </rPr>
          <t>This scenario builds on continued global demand for health coverage among multinational employers and globally mobile employees, with Cigna capitalizing on opportunities in emerging markets and regions with underpenetrated insurance coverage. Favorable macroeconomic conditions, including positive foreign exchange trends and stable regulatory environments, support this accelerated growth. Cigna’s diversified offerings including Global Health Care products for multinational clients and Local Health Care offerings in targeted geographies position the company to capture this expansion.</t>
        </r>
      </text>
    </comment>
    <comment ref="AA23" authorId="4" shapeId="0" xr:uid="{223DBF21-1F4B-4CB9-84EF-0ECE4BD174DF}">
      <text>
        <r>
          <rPr>
            <b/>
            <sz val="9"/>
            <color rgb="FF000000"/>
            <rFont val="Tahoma"/>
            <family val="2"/>
          </rPr>
          <t>Nick Wan:</t>
        </r>
        <r>
          <rPr>
            <sz val="9"/>
            <color rgb="FF000000"/>
            <rFont val="Tahoma"/>
            <family val="2"/>
          </rPr>
          <t xml:space="preserve">
</t>
        </r>
        <r>
          <rPr>
            <sz val="9"/>
            <color rgb="FF000000"/>
            <rFont val="Tahoma"/>
            <family val="2"/>
          </rPr>
          <t>This scenario shows slower expansion due to macroeconomic headwinds, currency volatility, and earlier-than-expected market saturation in key geographies. While the global group health insurance market is projected to grow at a ~9.5% CAGR through 2032, incremental contract wins and new enrollments may be limited. Nevertheless, Cigna’s diversified offerings, including Global Health Care products for multinational clients and Local Health Care offerings in targeted geographies, allow the company to sustain positive growth. Tailwinds such as rising employer focus on employee health and increasing adoption of international benefits continue to support the segment, though at a more moderate pace.</t>
        </r>
      </text>
    </comment>
    <comment ref="AH23" authorId="4" shapeId="0" xr:uid="{0834E41A-C130-476E-B9F6-4A80F9CA4A0E}">
      <text>
        <r>
          <rPr>
            <b/>
            <sz val="9"/>
            <color rgb="FF000000"/>
            <rFont val="Tahoma"/>
            <family val="2"/>
          </rPr>
          <t xml:space="preserve">Nick Wan:
</t>
        </r>
        <r>
          <rPr>
            <sz val="9"/>
            <color rgb="FF000000"/>
            <rFont val="Tahoma"/>
            <family val="2"/>
          </rPr>
          <t xml:space="preserve">Continued global demand for health coverage among multinational employers and globally mobile employees along with the global group health insurance market projected to grow at a ~9.5% CAGR through 2032 signal some growth in the International Health sector. Cigna’s diversified offerings including Global Health Care products for multinational clients and Local Health Care offerings in targeted geographies position the company to capture this growth. This also reflects structural tailwinds such as rising employer focus on employee health, expanding adoption of international benefits, and increasing health insurance penetration in emerging markets.
</t>
        </r>
      </text>
    </comment>
    <comment ref="AI23" authorId="4" shapeId="0" xr:uid="{B758D6DB-9C7F-41AE-922D-CA3538970BC7}">
      <text>
        <r>
          <rPr>
            <b/>
            <sz val="9"/>
            <color indexed="81"/>
            <rFont val="Tahoma"/>
            <family val="2"/>
          </rPr>
          <t xml:space="preserve">Nick Wan:
</t>
        </r>
        <r>
          <rPr>
            <sz val="9"/>
            <color indexed="81"/>
            <rFont val="Tahoma"/>
            <family val="2"/>
          </rPr>
          <t>While growth still remains strong for Cigna's International Health, Cigna may have already captured much of the immediate growth in highly penetrated markets such as Hong Kong, Singapore, and Middle East regions (locations mentioned in 2025 10k). Growth remains supported by multinational employer expansions, globally mobile employee enrollments, and emerging market penetration. This trend is expected to continue through 2030.</t>
        </r>
      </text>
    </comment>
    <comment ref="AH24" authorId="1" shapeId="0" xr:uid="{99C3BB3B-470C-FB4F-9780-BCED6E6E42DA}">
      <text>
        <r>
          <rPr>
            <b/>
            <sz val="10"/>
            <color rgb="FF000000"/>
            <rFont val="Tahoma"/>
            <family val="2"/>
          </rPr>
          <t>Ninaad Hadge:</t>
        </r>
        <r>
          <rPr>
            <sz val="10"/>
            <color rgb="FF000000"/>
            <rFont val="Tahoma"/>
            <family val="2"/>
          </rPr>
          <t xml:space="preserve">
</t>
        </r>
        <r>
          <rPr>
            <sz val="10"/>
            <color rgb="FF000000"/>
            <rFont val="Tahoma"/>
            <family val="2"/>
          </rPr>
          <t xml:space="preserve">Cigna remains operating internationally however, they streamlined their portfolio mainy by selling U.S Medicare Businesses and sold non-core insurance pieces in 2022 like international life, accident, and supplemental benefits business
</t>
        </r>
        <r>
          <rPr>
            <sz val="10"/>
            <color rgb="FF000000"/>
            <rFont val="Tahoma"/>
            <family val="2"/>
          </rPr>
          <t xml:space="preserve"> </t>
        </r>
      </text>
    </comment>
    <comment ref="I25" authorId="0" shapeId="0" xr:uid="{D94FBC8F-36D2-4653-B380-3E063817851D}">
      <text>
        <r>
          <rPr>
            <b/>
            <sz val="9"/>
            <color indexed="81"/>
            <rFont val="Tahoma"/>
            <family val="2"/>
          </rPr>
          <t>Matthew DiCarlo:</t>
        </r>
        <r>
          <rPr>
            <sz val="9"/>
            <color indexed="81"/>
            <rFont val="Tahoma"/>
            <family val="2"/>
          </rPr>
          <t xml:space="preserve">
part of 10k filing, will keep until further notice</t>
        </r>
      </text>
    </comment>
    <comment ref="T25" authorId="0" shapeId="0" xr:uid="{01859842-02EF-4B03-ADEC-68E49817BDAC}">
      <text>
        <r>
          <rPr>
            <b/>
            <sz val="9"/>
            <color rgb="FF000000"/>
            <rFont val="Tahoma"/>
            <family val="2"/>
          </rPr>
          <t>Matthew DiCarlo:</t>
        </r>
        <r>
          <rPr>
            <sz val="9"/>
            <color rgb="FF000000"/>
            <rFont val="Tahoma"/>
            <family val="2"/>
          </rPr>
          <t xml:space="preserve">
</t>
        </r>
        <r>
          <rPr>
            <sz val="9"/>
            <color rgb="FF000000"/>
            <rFont val="Tahoma"/>
            <family val="2"/>
          </rPr>
          <t xml:space="preserve">Has been 0 for 5 years, will keep the same
</t>
        </r>
      </text>
    </comment>
    <comment ref="AH25" authorId="1" shapeId="0" xr:uid="{52E71D27-FA55-7043-88D4-6D9441B9A6A1}">
      <text>
        <r>
          <rPr>
            <b/>
            <sz val="10"/>
            <color rgb="FF000000"/>
            <rFont val="Tahoma"/>
            <family val="2"/>
          </rPr>
          <t>Ninaad Hadge:</t>
        </r>
        <r>
          <rPr>
            <sz val="10"/>
            <color rgb="FF000000"/>
            <rFont val="Tahoma"/>
            <family val="2"/>
          </rPr>
          <t xml:space="preserve">
</t>
        </r>
        <r>
          <rPr>
            <sz val="10"/>
            <color rgb="FF000000"/>
            <rFont val="Tahoma"/>
            <family val="2"/>
          </rPr>
          <t xml:space="preserve">segment has been 0% YoY growth for the past 5 years
</t>
        </r>
      </text>
    </comment>
    <comment ref="T26" authorId="1" shapeId="0" xr:uid="{49E8D6C8-6CC9-5D44-89AC-12D348348183}">
      <text>
        <r>
          <rPr>
            <b/>
            <sz val="10"/>
            <color rgb="FF000000"/>
            <rFont val="Tahoma"/>
            <family val="2"/>
          </rPr>
          <t>Ninaad Hadge:</t>
        </r>
        <r>
          <rPr>
            <sz val="10"/>
            <color rgb="FF000000"/>
            <rFont val="Tahoma"/>
            <family val="2"/>
          </rPr>
          <t xml:space="preserve">
</t>
        </r>
        <r>
          <rPr>
            <sz val="10"/>
            <color rgb="FF000000"/>
            <rFont val="Tahoma"/>
            <family val="2"/>
          </rPr>
          <t xml:space="preserve">Average from the 3yr and 5 yr average
</t>
        </r>
        <r>
          <rPr>
            <sz val="10"/>
            <color rgb="FF000000"/>
            <rFont val="Tahoma"/>
            <family val="2"/>
          </rPr>
          <t xml:space="preserve">
</t>
        </r>
      </text>
    </comment>
    <comment ref="AA26" authorId="1" shapeId="0" xr:uid="{DD030A78-3A72-8F47-ABC4-ABC4BF4CC488}">
      <text>
        <r>
          <rPr>
            <b/>
            <sz val="10"/>
            <color rgb="FF000000"/>
            <rFont val="Tahoma"/>
            <family val="2"/>
          </rPr>
          <t>Ninaad Hadge:</t>
        </r>
        <r>
          <rPr>
            <sz val="10"/>
            <color rgb="FF000000"/>
            <rFont val="Tahoma"/>
            <family val="2"/>
          </rPr>
          <t xml:space="preserve">
</t>
        </r>
        <r>
          <rPr>
            <sz val="10"/>
            <color rgb="FF000000"/>
            <rFont val="Aptos Narrow"/>
            <family val="2"/>
            <scheme val="minor"/>
          </rPr>
          <t>Average from the 3yr and 5 yr average</t>
        </r>
        <r>
          <rPr>
            <sz val="10"/>
            <color rgb="FF000000"/>
            <rFont val="Aptos Narrow"/>
            <family val="2"/>
            <scheme val="minor"/>
          </rPr>
          <t xml:space="preserve">
</t>
        </r>
      </text>
    </comment>
    <comment ref="AH26" authorId="1" shapeId="0" xr:uid="{7164C7AD-9537-7A47-93B4-5F96E79533FF}">
      <text>
        <r>
          <rPr>
            <b/>
            <sz val="10"/>
            <color rgb="FF000000"/>
            <rFont val="Tahoma"/>
            <family val="2"/>
          </rPr>
          <t>Ninaad Hadge:</t>
        </r>
        <r>
          <rPr>
            <sz val="10"/>
            <color rgb="FF000000"/>
            <rFont val="Tahoma"/>
            <family val="2"/>
          </rPr>
          <t xml:space="preserve">
</t>
        </r>
        <r>
          <rPr>
            <sz val="10"/>
            <color rgb="FF000000"/>
            <rFont val="Aptos Narrow"/>
            <family val="2"/>
            <scheme val="minor"/>
          </rPr>
          <t>Average from the 3yr and 5 yr average</t>
        </r>
        <r>
          <rPr>
            <sz val="10"/>
            <color rgb="FF000000"/>
            <rFont val="Aptos Narrow"/>
            <family val="2"/>
            <scheme val="minor"/>
          </rPr>
          <t xml:space="preserve">
</t>
        </r>
      </text>
    </comment>
    <comment ref="T27" authorId="4" shapeId="0" xr:uid="{C8B35217-1B33-49C4-8F7E-AA4C8BF4B1D8}">
      <text>
        <r>
          <rPr>
            <b/>
            <sz val="9"/>
            <color indexed="81"/>
            <rFont val="Tahoma"/>
            <family val="2"/>
          </rPr>
          <t xml:space="preserve">Nick Wan:
</t>
        </r>
        <r>
          <rPr>
            <sz val="9"/>
            <color indexed="81"/>
            <rFont val="Tahoma"/>
            <family val="2"/>
          </rPr>
          <t xml:space="preserve">The bull case assumes a slight increase of 1% YoY in Intercompany Eliminations, reflecting modestly higher internal transaction activity across business segments. This may result from increased coordination or service utilization between segments as operations scale. As an accounting adjustment required under segment reporting guidance, these eliminations remain non-operational and are not indicative of standalone performance.
</t>
        </r>
      </text>
    </comment>
    <comment ref="AA27" authorId="4" shapeId="0" xr:uid="{A518687E-642C-4645-A471-16B2F258DF9D}">
      <text>
        <r>
          <rPr>
            <b/>
            <sz val="9"/>
            <color indexed="81"/>
            <rFont val="Tahoma"/>
            <family val="2"/>
          </rPr>
          <t xml:space="preserve">Nick Wan:
</t>
        </r>
        <r>
          <rPr>
            <sz val="9"/>
            <color indexed="81"/>
            <rFont val="Tahoma"/>
            <family val="2"/>
          </rPr>
          <t xml:space="preserve">The bear case assumes a slight decrease of 1% YoY in Intercompany Eliminations, reflecting reduced internal transaction volumes. This may be driven by organizational simplification and the impact of prior divestitures, resulting in fewer cross-segment interactions. As with the base case, this line item represents an accounting adjustment and does not reflect underlying business performance.
</t>
        </r>
      </text>
    </comment>
    <comment ref="AH27" authorId="4" shapeId="0" xr:uid="{2A9AB49C-FC03-4094-86E6-6698EBDADFEF}">
      <text>
        <r>
          <rPr>
            <b/>
            <sz val="9"/>
            <color indexed="81"/>
            <rFont val="Tahoma"/>
            <family val="2"/>
          </rPr>
          <t xml:space="preserve">Nick Wan:
</t>
        </r>
        <r>
          <rPr>
            <sz val="9"/>
            <color indexed="81"/>
            <rFont val="Tahoma"/>
            <family val="2"/>
          </rPr>
          <t xml:space="preserve">We can assume Intercompany Eliminations to remain flat YoY. This line item reflects the removal of internal transactions between Cigna’s business segments and does not represent standalone operating activity. While historical growth rates have been highly volatile due to small base effects and structural changes, these fluctuations are not indicative of underlying business performance. With no significant expected changes in segment structure following the 2025 divestiture, internal transaction levels are assumed to remain stable, resulting in consistent elimination amounts.
</t>
        </r>
      </text>
    </comment>
    <comment ref="T30" authorId="0" shapeId="0" xr:uid="{45627D42-1C98-4D7F-8C73-5B3AFB94DA3B}">
      <text>
        <r>
          <rPr>
            <b/>
            <sz val="9"/>
            <color rgb="FF000000"/>
            <rFont val="Tahoma"/>
            <family val="2"/>
          </rPr>
          <t>Matthew DiCarlo:</t>
        </r>
        <r>
          <rPr>
            <sz val="9"/>
            <color rgb="FF000000"/>
            <rFont val="Tahoma"/>
            <family val="2"/>
          </rPr>
          <t xml:space="preserve">
</t>
        </r>
        <r>
          <rPr>
            <sz val="9"/>
            <color rgb="FF000000"/>
            <rFont val="Tahoma"/>
            <family val="2"/>
          </rPr>
          <t>Within Evernorth Health Services, uninterrupted point-of-sale electronic retail pharmacy claims processing is a significant operational requirement for our business. We believe we have substantial capacity for growth in our U.S. pharmacy claims processing facilities. Our pharmacy technology platform allows us to safely, rapidly and accurately adjudicate over two billion adjusted prescriptions annually. Our technology helps retail pharmacies focus on patient care, and our real-time safety checks help avoid medication errors. Revenue growth includes increases to premium rates in consideration of anticipated medical cost increases, customer growth driven by new clients and customers, and increased fee revenue from the expansion of products and services to existing clients and customers, including solutions provided by Evernorth Health Services. In seeing this and also understanding that Evernorth is a mian driver of sales, I do believe that this segment could continue to see great YoY growth.</t>
        </r>
      </text>
    </comment>
    <comment ref="U30" authorId="0" shapeId="0" xr:uid="{BF60E571-356F-485A-ABFB-AD7FBBEFDC1A}">
      <text>
        <r>
          <rPr>
            <b/>
            <sz val="9"/>
            <color indexed="81"/>
            <rFont val="Tahoma"/>
            <family val="2"/>
          </rPr>
          <t>Matthew DiCarlo:</t>
        </r>
        <r>
          <rPr>
            <sz val="9"/>
            <color indexed="81"/>
            <rFont val="Tahoma"/>
            <family val="2"/>
          </rPr>
          <t xml:space="preserve">
By 2027, Evernorth ill hace a transformative pharmacy benefit model to make discounts negotiated with drug companies available upfront to customer buying their medications, which lowers costs at the counter.</t>
        </r>
      </text>
    </comment>
    <comment ref="V30" authorId="0" shapeId="0" xr:uid="{28D84BA0-0F17-41A4-9597-2B1502DA9405}">
      <text>
        <r>
          <rPr>
            <b/>
            <sz val="9"/>
            <color indexed="81"/>
            <rFont val="Tahoma"/>
            <family val="2"/>
          </rPr>
          <t>Matthew DiCarlo:</t>
        </r>
        <r>
          <rPr>
            <sz val="9"/>
            <color indexed="81"/>
            <rFont val="Tahoma"/>
            <family val="2"/>
          </rPr>
          <t xml:space="preserve">
A transparent rebate free model will become the standard model available for Evernorth Health Serices pharmacy benefits clients beginning in 2028 which is why I continue the 1% YoY growth into 2029 and 2030</t>
        </r>
      </text>
    </comment>
    <comment ref="AA30" authorId="2" shapeId="0" xr:uid="{F63BBD33-D8CD-4402-8B5E-20604DB52AE7}">
      <text>
        <r>
          <rPr>
            <sz val="11"/>
            <color theme="1"/>
            <rFont val="Aptos Narrow"/>
            <family val="2"/>
            <scheme val="minor"/>
          </rPr>
          <t>Zohaib Sheikh:
I'm projecting 15% Evernorth fee growth in 2026 bear case vs. 27.4% base. Evernorth fees grew 22% in 2025 ($15.4B) driven by affordability services expansion. With slower client adoption, FTC settlement uncertainty chilling new contracts, and competitive pressure from CVS Caremark and OptumRx launching rival affordability platforms.</t>
        </r>
      </text>
    </comment>
    <comment ref="AB30" authorId="2" shapeId="0" xr:uid="{F3249053-9160-4819-8EC7-0B4117D1F1F3}">
      <text>
        <r>
          <rPr>
            <sz val="11"/>
            <color theme="1"/>
            <rFont val="Aptos Narrow"/>
            <family val="2"/>
            <scheme val="minor"/>
          </rPr>
          <t>Zohaib Sheikh:
I believe 17% is appropriate as the affordability services growth rate normalizes and client wins become harder in a competitive market.</t>
        </r>
      </text>
    </comment>
    <comment ref="AC30" authorId="2" shapeId="0" xr:uid="{9AB9EEA3-9E71-41FB-A548-DCA32E0C2C2D}">
      <text>
        <r>
          <rPr>
            <sz val="11"/>
            <color theme="1"/>
            <rFont val="Aptos Narrow"/>
            <family val="2"/>
            <scheme val="minor"/>
          </rPr>
          <t>Zohaib Sheikh:
I believe 15% reflects continued deceleration as the high-growth affordability services revenue base gets larger and harder to grow at the same rate.</t>
        </r>
      </text>
    </comment>
    <comment ref="AD30" authorId="2" shapeId="0" xr:uid="{0F3A101B-699A-4913-B367-6E3B6A844A66}">
      <text>
        <r>
          <rPr>
            <sz val="11"/>
            <color theme="1"/>
            <rFont val="Aptos Narrow"/>
            <family val="2"/>
            <scheme val="minor"/>
          </rPr>
          <t>Zohaib Sheikh:
I believe 11% reflects further deceleration as the FTC settlement forces Express Scripts to restructure its fee arrangements by the Jan 2028 deadline. By 2029 the full impact of net pricing models is compressing fee-based revenue growth, and competitive PBMs are copying Evernorth's affordability playbook.</t>
        </r>
      </text>
    </comment>
    <comment ref="AE30" authorId="2" shapeId="0" xr:uid="{733E3CE5-5556-4719-9888-B4D03E4B3938}">
      <text>
        <r>
          <rPr>
            <sz val="11"/>
            <color theme="1"/>
            <rFont val="Aptos Narrow"/>
            <family val="2"/>
            <scheme val="minor"/>
          </rPr>
          <t>Zohaib Sheikh:
I believe 9% in 2030 is reasonable as Evernorth's fee growth converges toward broader healthcare services industry norms. The first-mover advantage in affordability services is eroded as CVS Caremark and OptumRx launch comparable offerings, and client retention becomes the primary growth driver over new wins.</t>
        </r>
      </text>
    </comment>
    <comment ref="AH30" authorId="1" shapeId="0" xr:uid="{9F7CCFC9-B538-624A-BB46-48D4A7B09EDF}">
      <text>
        <r>
          <rPr>
            <b/>
            <sz val="10"/>
            <color rgb="FF000000"/>
            <rFont val="Tahoma"/>
            <family val="2"/>
          </rPr>
          <t>Ninaad Hadge:</t>
        </r>
        <r>
          <rPr>
            <sz val="10"/>
            <color rgb="FF000000"/>
            <rFont val="Tahoma"/>
            <family val="2"/>
          </rPr>
          <t xml:space="preserve">
</t>
        </r>
        <r>
          <rPr>
            <sz val="10"/>
            <color rgb="FF000000"/>
            <rFont val="Tahoma"/>
            <family val="2"/>
          </rPr>
          <t xml:space="preserve">Evernorth plans to triple its provider headcount in 2026 from its current workforce of 5,000 providers to around 15,000 providers across all 50 states.
</t>
        </r>
      </text>
    </comment>
    <comment ref="AI30" authorId="1" shapeId="0" xr:uid="{DEE745BC-CB90-CB41-9C4A-A12299A6C69B}">
      <text>
        <r>
          <rPr>
            <b/>
            <sz val="10"/>
            <color rgb="FF000000"/>
            <rFont val="Tahoma"/>
            <family val="2"/>
          </rPr>
          <t>Ninaad Hadge:</t>
        </r>
        <r>
          <rPr>
            <sz val="10"/>
            <color rgb="FF000000"/>
            <rFont val="Tahoma"/>
            <family val="2"/>
          </rPr>
          <t xml:space="preserve">
</t>
        </r>
        <r>
          <rPr>
            <sz val="10"/>
            <color rgb="FF000000"/>
            <rFont val="Aptos Narrow"/>
            <family val="2"/>
            <scheme val="minor"/>
          </rPr>
          <t>Starting in 2027, Evernorth will eliminate drug rebates for all fully insured plan customers, providing negotiated discounts upfront.</t>
        </r>
      </text>
    </comment>
    <comment ref="AJ30" authorId="1" shapeId="0" xr:uid="{A017AB1F-899C-6C46-A032-46B2BC6070F6}">
      <text>
        <r>
          <rPr>
            <b/>
            <sz val="10"/>
            <color rgb="FF000000"/>
            <rFont val="Tahoma"/>
            <family val="2"/>
          </rPr>
          <t>Ninaad Hadge:</t>
        </r>
        <r>
          <rPr>
            <sz val="10"/>
            <color rgb="FF000000"/>
            <rFont val="Tahoma"/>
            <family val="2"/>
          </rPr>
          <t xml:space="preserve">
</t>
        </r>
        <r>
          <rPr>
            <sz val="10"/>
            <color rgb="FF000000"/>
            <rFont val="Tahoma"/>
            <family val="2"/>
          </rPr>
          <t xml:space="preserve">Evernorth will implement a </t>
        </r>
        <r>
          <rPr>
            <sz val="10"/>
            <color rgb="FF000000"/>
            <rFont val="Aptos Narrow"/>
            <family val="2"/>
            <scheme val="minor"/>
          </rPr>
          <t xml:space="preserve">new pharmacy benefit model as its standard offering after the rebate
</t>
        </r>
      </text>
    </comment>
    <comment ref="AK30" authorId="1" shapeId="0" xr:uid="{B1C69579-4C98-064B-BCAF-F6F5230F3AF2}">
      <text>
        <r>
          <rPr>
            <b/>
            <sz val="10"/>
            <color rgb="FF000000"/>
            <rFont val="Tahoma"/>
            <family val="2"/>
          </rPr>
          <t>Ninaad Hadge:</t>
        </r>
        <r>
          <rPr>
            <sz val="10"/>
            <color rgb="FF000000"/>
            <rFont val="Tahoma"/>
            <family val="2"/>
          </rPr>
          <t xml:space="preserve">
</t>
        </r>
        <r>
          <rPr>
            <sz val="10"/>
            <color rgb="FF000000"/>
            <rFont val="Tahoma"/>
            <family val="2"/>
          </rPr>
          <t xml:space="preserve">Following average rate over past 3-5 years, with a look on an upside due to the implentation of the new pharmacy benefit model
</t>
        </r>
      </text>
    </comment>
    <comment ref="T31" authorId="1" shapeId="0" xr:uid="{859C91FC-46A0-EE41-BB10-23053042F7D9}">
      <text>
        <r>
          <rPr>
            <b/>
            <sz val="10"/>
            <color rgb="FF000000"/>
            <rFont val="Tahoma"/>
            <family val="2"/>
          </rPr>
          <t>Ninaad Hadge:</t>
        </r>
        <r>
          <rPr>
            <sz val="10"/>
            <color rgb="FF000000"/>
            <rFont val="Tahoma"/>
            <family val="2"/>
          </rPr>
          <t xml:space="preserve">
</t>
        </r>
        <r>
          <rPr>
            <sz val="10"/>
            <color rgb="FF000000"/>
            <rFont val="Tahoma"/>
            <family val="2"/>
          </rPr>
          <t>Given Cigna's plan on focused personalized, technology driven health plans for 2025-2026, implementing AI, emphasizing its MDLIVE planning on $0 virtual urgent care and $0 preventive visits which is a rising market projected to each over $600 billion by 2032 (Yahoo Finance), and if Cigna implements this, it will become more attractive for indivisuals seeking healthcare for quick notice moments.</t>
        </r>
      </text>
    </comment>
    <comment ref="AA31" authorId="2" shapeId="0" xr:uid="{7CA8EEAD-CB61-432C-BAFC-35A9BA5AA3A4}">
      <text>
        <r>
          <rPr>
            <sz val="11"/>
            <color theme="1"/>
            <rFont val="Aptos Narrow"/>
            <family val="2"/>
            <scheme val="minor"/>
          </rPr>
          <t>Zohaib Sheikh:
I'm projecting 2% Cigna Healthcare fee growth because the HCSC transaction removed Medicare-related fee revenue, leaving a smaller, slower-growing ASO/self-funded fee base.</t>
        </r>
      </text>
    </comment>
    <comment ref="AB31" authorId="2" shapeId="0" xr:uid="{73DC33A0-5DD8-4924-9B27-6D7B485D5F87}">
      <text>
        <r>
          <rPr>
            <sz val="11"/>
            <color theme="1"/>
            <rFont val="Aptos Narrow"/>
            <family val="2"/>
            <scheme val="minor"/>
          </rPr>
          <t>Zohaib Sheikh:
I believe 2.2% reflects modest rate increases on the remaining ASO book with minimal membership growth.</t>
        </r>
      </text>
    </comment>
    <comment ref="AC31" authorId="2" shapeId="0" xr:uid="{8DCC2D10-E0DA-4634-8AE3-7D4C4CC8FE2C}">
      <text>
        <r>
          <rPr>
            <sz val="11"/>
            <color theme="1"/>
            <rFont val="Aptos Narrow"/>
            <family val="2"/>
            <scheme val="minor"/>
          </rPr>
          <t>Zohaib Sheikh:
I believe 2.5% as underlying medical cost trends push admin fees slightly higher.</t>
        </r>
      </text>
    </comment>
    <comment ref="AD31" authorId="2" shapeId="0" xr:uid="{5177803C-B0CA-4D7C-B102-1C5A1415A6B7}">
      <text>
        <r>
          <rPr>
            <sz val="11"/>
            <color theme="1"/>
            <rFont val="Aptos Narrow"/>
            <family val="2"/>
            <scheme val="minor"/>
          </rPr>
          <t>Zohaib Sheikh:
I believe 2.5% for Cigna HC fees in 2029 as the post-HCSC ASO book shows signs of membership attrition; employers increasingly self-administer or move to smaller, more nimble TPA alternatives in a bear economy.</t>
        </r>
      </text>
    </comment>
    <comment ref="AE31" authorId="2" shapeId="0" xr:uid="{31E2977F-18E7-42D9-A8C4-D886358FFE38}">
      <text>
        <r>
          <rPr>
            <sz val="11"/>
            <color theme="1"/>
            <rFont val="Aptos Narrow"/>
            <family val="2"/>
            <scheme val="minor"/>
          </rPr>
          <t>Zohaib Sheikh:
I believe 2% in 2030 as the Cigna HC fee base continues to erode. Rate increases barely offset membership losses, with the net effect being lower growth than 2029. The smaller post-divestiture Cigna Healthcare has less cross-sell leverage.</t>
        </r>
      </text>
    </comment>
    <comment ref="AH31" authorId="1" shapeId="0" xr:uid="{F5B54232-B5DD-4647-A496-CA0831B0833B}">
      <text>
        <r>
          <rPr>
            <b/>
            <sz val="10"/>
            <color rgb="FF000000"/>
            <rFont val="Tahoma"/>
            <family val="2"/>
          </rPr>
          <t>Ninaad Hadge:</t>
        </r>
        <r>
          <rPr>
            <sz val="10"/>
            <color rgb="FF000000"/>
            <rFont val="Tahoma"/>
            <family val="2"/>
          </rPr>
          <t xml:space="preserve">
</t>
        </r>
        <r>
          <rPr>
            <sz val="10"/>
            <color rgb="FF000000"/>
            <rFont val="Tahoma"/>
            <family val="2"/>
          </rPr>
          <t xml:space="preserve">CI completed their sale of their Medicare Advantage, </t>
        </r>
        <r>
          <rPr>
            <sz val="10"/>
            <color rgb="FF000000"/>
            <rFont val="Aptos Narrow"/>
            <family val="2"/>
          </rPr>
          <t xml:space="preserve"> Medicare Individual Stand-Alone Prescription Drug Plans, Medicare and Other Supplemental Benefits, and CareAllies® businesses to Health Care Service Corporation ("HCSC," and such transaction, the "HCSC transaction")
</t>
        </r>
      </text>
    </comment>
    <comment ref="AI31" authorId="1" shapeId="0" xr:uid="{B82DD38F-030B-984E-B9F4-E249C83AC922}">
      <text>
        <r>
          <rPr>
            <b/>
            <sz val="10"/>
            <color rgb="FF000000"/>
            <rFont val="Tahoma"/>
            <family val="2"/>
          </rPr>
          <t>Ninaad Hadge:</t>
        </r>
        <r>
          <rPr>
            <sz val="10"/>
            <color rgb="FF000000"/>
            <rFont val="Tahoma"/>
            <family val="2"/>
          </rPr>
          <t xml:space="preserve">
</t>
        </r>
        <r>
          <rPr>
            <sz val="10"/>
            <color rgb="FF000000"/>
            <rFont val="Tahoma"/>
            <family val="2"/>
          </rPr>
          <t xml:space="preserve">More emphasis on Evernoth Healthcare Services Segment after tranaction sale of multiple of its segements
</t>
        </r>
        <r>
          <rPr>
            <sz val="10"/>
            <color rgb="FF000000"/>
            <rFont val="Tahoma"/>
            <family val="2"/>
          </rPr>
          <t xml:space="preserve">
</t>
        </r>
      </text>
    </comment>
    <comment ref="AJ31" authorId="1" shapeId="0" xr:uid="{373668CE-FE76-A749-A1DE-D29C7A22B412}">
      <text>
        <r>
          <rPr>
            <b/>
            <sz val="10"/>
            <color rgb="FF000000"/>
            <rFont val="Tahoma"/>
            <family val="2"/>
          </rPr>
          <t>Ninaad Hadge:</t>
        </r>
        <r>
          <rPr>
            <sz val="10"/>
            <color rgb="FF000000"/>
            <rFont val="Tahoma"/>
            <family val="2"/>
          </rPr>
          <t xml:space="preserve">
</t>
        </r>
        <r>
          <rPr>
            <sz val="10"/>
            <color rgb="FF000000"/>
            <rFont val="Tahoma"/>
            <family val="2"/>
          </rPr>
          <t xml:space="preserve">following Evernorth's rebate free plan to increase transparency and lower out of pocket costs
</t>
        </r>
      </text>
    </comment>
    <comment ref="AK31" authorId="1" shapeId="0" xr:uid="{C9CECEDE-5690-B945-A1C9-F8E78F41F751}">
      <text>
        <r>
          <rPr>
            <b/>
            <sz val="10"/>
            <color rgb="FF000000"/>
            <rFont val="Tahoma"/>
            <family val="2"/>
          </rPr>
          <t>Ninaad Hadge:</t>
        </r>
        <r>
          <rPr>
            <sz val="10"/>
            <color rgb="FF000000"/>
            <rFont val="Tahoma"/>
            <family val="2"/>
          </rPr>
          <t xml:space="preserve">
</t>
        </r>
        <r>
          <rPr>
            <sz val="10"/>
            <color rgb="FF000000"/>
            <rFont val="Tahoma"/>
            <family val="2"/>
          </rPr>
          <t xml:space="preserve">Looks to integrating AI and accelerating digitlal first and personalized care
</t>
        </r>
      </text>
    </comment>
    <comment ref="T32" authorId="1" shapeId="0" xr:uid="{F0CA0E79-2FE1-9046-9FDD-9A432A82B7C9}">
      <text>
        <r>
          <rPr>
            <b/>
            <sz val="10"/>
            <color rgb="FF000000"/>
            <rFont val="Tahoma"/>
            <family val="2"/>
          </rPr>
          <t>Ninaad Hadge:</t>
        </r>
        <r>
          <rPr>
            <sz val="10"/>
            <color rgb="FF000000"/>
            <rFont val="Tahoma"/>
            <family val="2"/>
          </rPr>
          <t xml:space="preserve">
</t>
        </r>
        <r>
          <rPr>
            <sz val="10"/>
            <color rgb="FF000000"/>
            <rFont val="Tahoma"/>
            <family val="2"/>
          </rPr>
          <t xml:space="preserve">If Cigna continues with managing their runoff businesses with their remaining clients, there can be potential growth
</t>
        </r>
      </text>
    </comment>
    <comment ref="AA32" authorId="2" shapeId="0" xr:uid="{0CC6862C-B5F6-4DFD-8E22-743D5F394F7A}">
      <text>
        <r>
          <rPr>
            <sz val="11"/>
            <color theme="1"/>
            <rFont val="Aptos Narrow"/>
            <family val="2"/>
            <scheme val="minor"/>
          </rPr>
          <t>Zohaib Sheikh:
Other Operations fees are immaterial ($34M in 2025) so I'm projecting zero growth in bear case.</t>
        </r>
      </text>
    </comment>
    <comment ref="AB32" authorId="2" shapeId="0" xr:uid="{65F298B7-5364-4D9C-952E-E0820EC233A9}">
      <text>
        <r>
          <rPr>
            <sz val="11"/>
            <color theme="1"/>
            <rFont val="Aptos Narrow"/>
            <family val="2"/>
            <scheme val="minor"/>
          </rPr>
          <t>Zohaib Sheikh:
Zero growth.</t>
        </r>
      </text>
    </comment>
    <comment ref="AC32" authorId="2" shapeId="0" xr:uid="{C2A53431-7135-433D-B2B8-D32D3B3CD7FB}">
      <text>
        <r>
          <rPr>
            <sz val="11"/>
            <color theme="1"/>
            <rFont val="Aptos Narrow"/>
            <family val="2"/>
            <scheme val="minor"/>
          </rPr>
          <t>Zohaib Sheikh:
Zero growth.</t>
        </r>
      </text>
    </comment>
    <comment ref="AD32" authorId="2" shapeId="0" xr:uid="{7D8D090B-35BE-4804-9FFC-ECE820C1BDC9}">
      <text>
        <r>
          <rPr>
            <sz val="11"/>
            <color theme="1"/>
            <rFont val="Aptos Narrow"/>
            <family val="2"/>
            <scheme val="minor"/>
          </rPr>
          <t>Zohaib Sheikh:
I believe -5% for Other Operations fees in 2029 ($34M base) starts to decline as legacy contracts roll off with no replacement activity.</t>
        </r>
      </text>
    </comment>
    <comment ref="AE32" authorId="2" shapeId="0" xr:uid="{1190D5A9-2009-47A2-B5B4-2EC606DA475F}">
      <text>
        <r>
          <rPr>
            <sz val="11"/>
            <color theme="1"/>
            <rFont val="Aptos Narrow"/>
            <family val="2"/>
            <scheme val="minor"/>
          </rPr>
          <t>Zohaib Sheikh:
I believe -10% in 2030 as the Other Operations fee base continues its runoff trajectory. At this point the line is approaching immateriality.</t>
        </r>
      </text>
    </comment>
    <comment ref="AH32" authorId="1" shapeId="0" xr:uid="{60726898-BADC-1A4D-ADC4-914F98F5AD25}">
      <text>
        <r>
          <rPr>
            <b/>
            <sz val="10"/>
            <color rgb="FF000000"/>
            <rFont val="Tahoma"/>
            <family val="2"/>
          </rPr>
          <t>Ninaad Hadge:</t>
        </r>
        <r>
          <rPr>
            <sz val="10"/>
            <color rgb="FF000000"/>
            <rFont val="Tahoma"/>
            <family val="2"/>
          </rPr>
          <t xml:space="preserve">
</t>
        </r>
        <r>
          <rPr>
            <sz val="10"/>
            <color rgb="FF000000"/>
            <rFont val="Tahoma"/>
            <family val="2"/>
          </rPr>
          <t xml:space="preserve">Keeping a growth as the previous year and the one  before were due to temporary circumstances. Growth to stablize
</t>
        </r>
      </text>
    </comment>
    <comment ref="T33" authorId="0" shapeId="0" xr:uid="{88571088-B4ED-433D-8E5A-FF9B4070F905}">
      <text>
        <r>
          <rPr>
            <b/>
            <sz val="9"/>
            <color rgb="FF000000"/>
            <rFont val="Tahoma"/>
            <family val="2"/>
          </rPr>
          <t>Matthew DiCarlo:</t>
        </r>
        <r>
          <rPr>
            <sz val="9"/>
            <color rgb="FF000000"/>
            <rFont val="Tahoma"/>
            <family val="2"/>
          </rPr>
          <t xml:space="preserve">
</t>
        </r>
        <r>
          <rPr>
            <sz val="9"/>
            <color rgb="FF000000"/>
            <rFont val="Tahoma"/>
            <family val="2"/>
          </rPr>
          <t xml:space="preserve">Has been 0 past 2 years, will project the same
</t>
        </r>
      </text>
    </comment>
    <comment ref="AA33" authorId="2" shapeId="0" xr:uid="{0C140E84-C27A-41B3-BDB8-5C746828A84A}">
      <text>
        <r>
          <rPr>
            <sz val="11"/>
            <color theme="1"/>
            <rFont val="Aptos Narrow"/>
            <family val="2"/>
            <scheme val="minor"/>
          </rPr>
          <t>Zohaib Sheikh:
Other revenues ($696M in 2025) projected flat in bear case. This is a catch-all line with limited visibility.</t>
        </r>
      </text>
    </comment>
    <comment ref="AB33" authorId="2" shapeId="0" xr:uid="{DD3E7AC7-1C00-4E72-A41E-FC6E5C02BCA9}">
      <text>
        <r>
          <rPr>
            <sz val="11"/>
            <color theme="1"/>
            <rFont val="Aptos Narrow"/>
            <family val="2"/>
            <scheme val="minor"/>
          </rPr>
          <t xml:space="preserve">Zohaib Sheikh:
Zero growth.
</t>
        </r>
      </text>
    </comment>
    <comment ref="AC33" authorId="2" shapeId="0" xr:uid="{2A1833B5-4575-405E-98A2-D3DC93AAB815}">
      <text>
        <r>
          <rPr>
            <sz val="11"/>
            <color theme="1"/>
            <rFont val="Aptos Narrow"/>
            <family val="2"/>
            <scheme val="minor"/>
          </rPr>
          <t>Zohaib Sheikh:
Zero growth.</t>
        </r>
      </text>
    </comment>
    <comment ref="AD33" authorId="2" shapeId="0" xr:uid="{93C3AB0C-F46B-4966-B918-34FC5898EE27}">
      <text>
        <r>
          <rPr>
            <sz val="11"/>
            <color theme="1"/>
            <rFont val="Aptos Narrow"/>
            <family val="2"/>
            <scheme val="minor"/>
          </rPr>
          <t>Zohaib Sheikh:
Zero growth.</t>
        </r>
      </text>
    </comment>
    <comment ref="AE33" authorId="2" shapeId="0" xr:uid="{C3D65EEB-63A3-4A2B-9592-38D8FBF7ECCA}">
      <text>
        <r>
          <rPr>
            <sz val="11"/>
            <color theme="1"/>
            <rFont val="Aptos Narrow"/>
            <family val="2"/>
            <scheme val="minor"/>
          </rPr>
          <t>Zohaib Sheikh:
Zero growth.</t>
        </r>
      </text>
    </comment>
    <comment ref="AA34" authorId="2" shapeId="0" xr:uid="{9EB61BC3-3A21-4696-9F7D-9EA607F61488}">
      <text>
        <r>
          <rPr>
            <sz val="11"/>
            <color theme="1"/>
            <rFont val="Aptos Narrow"/>
            <family val="2"/>
            <scheme val="minor"/>
          </rPr>
          <t>Zohaib Sheikh:
Intercompany fee eliminations projected flat. These are mechanical and offset by Evernorth/Cigna HC fee growth. The elimination grew from -$2.6B (2022) to -$5.7B (2025), so projecting zero change makes my bear case conservative.</t>
        </r>
      </text>
    </comment>
    <comment ref="AB34" authorId="2" shapeId="0" xr:uid="{88BA0CE4-9C37-4638-8602-D7B7A0815AEA}">
      <text>
        <r>
          <rPr>
            <sz val="11"/>
            <color theme="1"/>
            <rFont val="Aptos Narrow"/>
            <family val="2"/>
            <scheme val="minor"/>
          </rPr>
          <t>Zohaib Sheikh:
Intercompany fee eliminations projected flat. These are mechanical and offset by Evernorth/Cigna HC fee growth. The elimination grew from -$2.6B (2022) to -$5.7B (2025), so projecting zero change makes my bear case conservative.</t>
        </r>
      </text>
    </comment>
    <comment ref="AC34" authorId="2" shapeId="0" xr:uid="{26A47538-1E22-447F-8A95-9B73C5A56AC4}">
      <text>
        <r>
          <rPr>
            <sz val="11"/>
            <color theme="1"/>
            <rFont val="Aptos Narrow"/>
            <family val="2"/>
            <scheme val="minor"/>
          </rPr>
          <t>Zohaib Sheikh:
Intercompany fee eliminations projected flat. These are mechanical and offset by Evernorth/Cigna HC fee growth. The elimination grew from -$2.6B (2022) to -$5.7B (2025), so projecting zero change makes my bear case conservative.</t>
        </r>
      </text>
    </comment>
    <comment ref="AD34" authorId="2" shapeId="0" xr:uid="{6EE78344-C100-4406-9C35-C4B1B68CB24A}">
      <text>
        <r>
          <rPr>
            <sz val="11"/>
            <color theme="1"/>
            <rFont val="Aptos Narrow"/>
            <family val="2"/>
            <scheme val="minor"/>
          </rPr>
          <t>Zohaib Sheikh:
I believe +2% for intercompany fee eliminations in 2029 assuming Evernorth fees grow while Cigna HC shrinks, the internal cross-charge dynamics shift, slightly increasing the elimination line.</t>
        </r>
      </text>
    </comment>
    <comment ref="AE34" authorId="2" shapeId="0" xr:uid="{6AF89767-474E-4E84-9A37-D965BBA2C2F5}">
      <text>
        <r>
          <rPr>
            <sz val="11"/>
            <color theme="1"/>
            <rFont val="Aptos Narrow"/>
            <family val="2"/>
            <scheme val="minor"/>
          </rPr>
          <t xml:space="preserve">Zohaib Sheikh:
Holding my assumption firm for 2029, +3% would be subsequent. </t>
        </r>
      </text>
    </comment>
    <comment ref="AA35" authorId="2" shapeId="0" xr:uid="{23AE6A60-1CF5-46A8-9B3A-8A9B237249A6}">
      <text>
        <r>
          <rPr>
            <sz val="11"/>
            <color theme="1"/>
            <rFont val="Aptos Narrow"/>
            <family val="2"/>
            <scheme val="minor"/>
          </rPr>
          <t>Zohaib Sheikh:
I'm projecting 3% net investment income growth in 2026 bear case. NII was $1.05B in 2025 (up 8%). I'm going to assumee lower partnership returns and smaller investment portfolio post-HCSC proceeds deployment.</t>
        </r>
      </text>
    </comment>
    <comment ref="AB35" authorId="2" shapeId="0" xr:uid="{15BC16BF-1001-46F9-9C34-A4064FF0ACEB}">
      <text>
        <r>
          <rPr>
            <sz val="11"/>
            <color theme="1"/>
            <rFont val="Aptos Narrow"/>
            <family val="2"/>
            <scheme val="minor"/>
          </rPr>
          <t>Zohaib Sheikh:
I believe 2% reflects a declining investment portfolio as cash is deployed for share buybacks and debt reduction rather than reinvestment.</t>
        </r>
      </text>
    </comment>
    <comment ref="AC35" authorId="2" shapeId="0" xr:uid="{F1257002-82D0-4D07-8939-D11EBE02107A}">
      <text>
        <r>
          <rPr>
            <sz val="11"/>
            <color theme="1"/>
            <rFont val="Aptos Narrow"/>
            <family val="2"/>
            <scheme val="minor"/>
          </rPr>
          <t>Zohaib Sheikh:
I believe 1%... as the investment base continues to shrink and partnership income normalizes.</t>
        </r>
      </text>
    </comment>
    <comment ref="AD35" authorId="2" shapeId="0" xr:uid="{8D836348-CE0C-441D-84D3-9FDAAB34466D}">
      <text>
        <r>
          <rPr>
            <sz val="11"/>
            <color theme="1"/>
            <rFont val="Aptos Narrow"/>
            <family val="2"/>
            <scheme val="minor"/>
          </rPr>
          <t>Zohaib Sheikh:
Flat NII as the portfolio stabilizes at a lower level.</t>
        </r>
      </text>
    </comment>
    <comment ref="AE35" authorId="2" shapeId="0" xr:uid="{E0862BF1-6645-4BBF-8361-DEFF1777F48B}">
      <text>
        <r>
          <rPr>
            <sz val="11"/>
            <color theme="1"/>
            <rFont val="Aptos Narrow"/>
            <family val="2"/>
            <scheme val="minor"/>
          </rPr>
          <t>Zohaib Sheikh:
I believe -5% as a bear tail risk (lower rates or credit deterioration in the investment portfolio).</t>
        </r>
      </text>
    </comment>
    <comment ref="AH35" authorId="1" shapeId="0" xr:uid="{A0EFBB24-70BA-0F48-8756-30C0576D35B8}">
      <text>
        <r>
          <rPr>
            <b/>
            <sz val="10"/>
            <color rgb="FF000000"/>
            <rFont val="Tahoma"/>
            <family val="2"/>
          </rPr>
          <t>Ninaad Hadge:</t>
        </r>
        <r>
          <rPr>
            <sz val="10"/>
            <color rgb="FF000000"/>
            <rFont val="Tahoma"/>
            <family val="2"/>
          </rPr>
          <t xml:space="preserve">
</t>
        </r>
        <r>
          <rPr>
            <sz val="10"/>
            <color rgb="FF000000"/>
            <rFont val="Tahoma"/>
            <family val="2"/>
          </rPr>
          <t xml:space="preserve">Cigna's previous rise was caused by the year prior to that they had a large investment loss,where they simply rebounded from that. However, Cigna's Net Investment Income (NII) portfolio consists of bonds, mortgages, short-term investments which generate interest income. Trump's plan to cut interest rates for 2026 can potentialy harm new investments which would earn lower yields. </t>
        </r>
        <r>
          <rPr>
            <sz val="10"/>
            <color rgb="FF000000"/>
            <rFont val="Aptos Narrow"/>
            <family val="2"/>
          </rPr>
          <t xml:space="preserve">old high-yield assets and new investments shrinks → </t>
        </r>
        <r>
          <rPr>
            <b/>
            <sz val="10"/>
            <color rgb="FF000000"/>
            <rFont val="Aptos Narrow"/>
            <family val="2"/>
          </rPr>
          <t>slows investment income growth</t>
        </r>
        <r>
          <rPr>
            <sz val="10"/>
            <color rgb="FF000000"/>
            <rFont val="Aptos Narrow"/>
            <family val="2"/>
          </rPr>
          <t xml:space="preserve">
</t>
        </r>
      </text>
    </comment>
    <comment ref="AI35" authorId="1" shapeId="0" xr:uid="{9C81C961-F9FF-E049-820F-DC3D2D61408E}">
      <text>
        <r>
          <rPr>
            <b/>
            <sz val="10"/>
            <color rgb="FF000000"/>
            <rFont val="Tahoma"/>
            <family val="2"/>
          </rPr>
          <t>Ninaad Hadge:</t>
        </r>
        <r>
          <rPr>
            <sz val="10"/>
            <color rgb="FF000000"/>
            <rFont val="Tahoma"/>
            <family val="2"/>
          </rPr>
          <t xml:space="preserve">
</t>
        </r>
        <r>
          <rPr>
            <sz val="10"/>
            <color rgb="FF000000"/>
            <rFont val="Tahoma"/>
            <family val="2"/>
          </rPr>
          <t xml:space="preserve">Previously stated of Trump's plan to cut rates for 2026 will result in slow gradual affect throughout 2028. The cuts will ultimately result in a decline in NII
</t>
        </r>
      </text>
    </comment>
    <comment ref="T38" authorId="0" shapeId="0" xr:uid="{764CDDB6-2AE5-47E8-8D93-7B9324D8CA4B}">
      <text>
        <r>
          <rPr>
            <b/>
            <sz val="9"/>
            <color indexed="81"/>
            <rFont val="Tahoma"/>
            <family val="2"/>
          </rPr>
          <t>Matthew DiCarlo:</t>
        </r>
        <r>
          <rPr>
            <sz val="9"/>
            <color indexed="81"/>
            <rFont val="Tahoma"/>
            <family val="2"/>
          </rPr>
          <t xml:space="preserve">
 In its 10-K, The Cigna Group explains that pharmacy and other service costs are largely tied to client volume and drug costs, especially specialty medications (10-K, p. 3–5, p. 30). The company also highlights continued growth in Evernorth, which increases the weight of pharmacy-related costs in total revenue. On top of that, industry trends show rising spending on specialty drugs and treatments like GLP-1s, which are driving higher pharmacy costs overall. </t>
        </r>
      </text>
    </comment>
    <comment ref="V38" authorId="0" shapeId="0" xr:uid="{C10453EB-5616-4EFD-940D-90AB1CA4C2CE}">
      <text>
        <r>
          <rPr>
            <b/>
            <sz val="9"/>
            <color indexed="81"/>
            <rFont val="Tahoma"/>
            <family val="2"/>
          </rPr>
          <t>Matthew DiCarlo:</t>
        </r>
        <r>
          <rPr>
            <sz val="9"/>
            <color indexed="81"/>
            <rFont val="Tahoma"/>
            <family val="2"/>
          </rPr>
          <t xml:space="preserve">
While costs do continue to rise,  profit margins at 2% could eventually become an issue. Although management does not specifically state this, I do think that costs will eventuall be priority and will be cut as a 2% profdit margin does not seem sustainable with other econmic prices rising. I am going to project a 2% decrease in costs from previous year.</t>
        </r>
      </text>
    </comment>
    <comment ref="W38" authorId="0" shapeId="0" xr:uid="{DB6707B2-9C07-4DB1-99A6-3134B72710A2}">
      <text>
        <r>
          <rPr>
            <b/>
            <sz val="9"/>
            <color indexed="81"/>
            <rFont val="Tahoma"/>
            <family val="2"/>
          </rPr>
          <t>Matthew DiCarlo:</t>
        </r>
        <r>
          <rPr>
            <sz val="9"/>
            <color indexed="81"/>
            <rFont val="Tahoma"/>
            <family val="2"/>
          </rPr>
          <t xml:space="preserve">
Going based of previous year, but taking a more conserivative cut with 1.15%</t>
        </r>
      </text>
    </comment>
    <comment ref="X38" authorId="0" shapeId="0" xr:uid="{2197767B-52BC-45C3-BA89-AA0BEF7A9B5D}">
      <text>
        <r>
          <rPr>
            <b/>
            <sz val="9"/>
            <color indexed="81"/>
            <rFont val="Tahoma"/>
            <family val="2"/>
          </rPr>
          <t>Matthew DiCarlo:</t>
        </r>
        <r>
          <rPr>
            <sz val="9"/>
            <color indexed="81"/>
            <rFont val="Tahoma"/>
            <family val="2"/>
          </rPr>
          <t xml:space="preserve">
Until management states decisions to cut costs, I am going to flat line from previous year.</t>
        </r>
      </text>
    </comment>
    <comment ref="AA38" authorId="2" shapeId="0" xr:uid="{588D2F97-34D7-4E6D-9527-228134904E54}">
      <text>
        <r>
          <rPr>
            <sz val="11"/>
            <color theme="1"/>
            <rFont val="Aptos Narrow"/>
            <family val="2"/>
            <scheme val="minor"/>
          </rPr>
          <t>Zohaib Sheikh:
79% FTC settlement forces net pricing by Jan '28, spread model is dead. Was 78.3% in '25. Going to 81% by '30 as pass-through becomes standard.</t>
        </r>
      </text>
    </comment>
    <comment ref="AB38" authorId="2" shapeId="0" xr:uid="{056A1EFB-EF01-427A-B00D-413D82323CAD}">
      <text>
        <r>
          <rPr>
            <sz val="11"/>
            <color theme="1"/>
            <rFont val="Aptos Narrow"/>
            <family val="2"/>
            <scheme val="minor"/>
          </rPr>
          <t>Zohaib Sheikh:
Spread compression accelerating, more clients on pass-through contracts.</t>
        </r>
      </text>
    </comment>
    <comment ref="AC38" authorId="2" shapeId="0" xr:uid="{15816FDE-898F-471A-94BF-BF50F1189EAF}">
      <text>
        <r>
          <rPr>
            <sz val="11"/>
            <color theme="1"/>
            <rFont val="Aptos Narrow"/>
            <family val="2"/>
            <scheme val="minor"/>
          </rPr>
          <t>Zohaib Sheikh:
Transparent pricing nearly universal. Pharmacy is becoming a utility.</t>
        </r>
      </text>
    </comment>
    <comment ref="AD38" authorId="2" shapeId="0" xr:uid="{00E71133-B526-432A-A61B-544AB958688F}">
      <text>
        <r>
          <rPr>
            <sz val="11"/>
            <color theme="1"/>
            <rFont val="Aptos Narrow"/>
            <family val="2"/>
            <scheme val="minor"/>
          </rPr>
          <t>Zohaib Sheikh:
I believe 80.5% reflects utility-like returns on pharmacy fulfillment as the industry fully transitions to transparent pricing.</t>
        </r>
      </text>
    </comment>
    <comment ref="AE38" authorId="2" shapeId="0" xr:uid="{EADB9DD9-9CA3-42A9-AC1E-AAE3D8ED43D7}">
      <text>
        <r>
          <rPr>
            <sz val="11"/>
            <color theme="1"/>
            <rFont val="Aptos Narrow"/>
            <family val="2"/>
            <scheme val="minor"/>
          </rPr>
          <t>Zohaib Sheikh:
I believe 81% is the terminal level. With minimal spread remaining, profit has to come from fees and specialty rather than traditional PBM spread.</t>
        </r>
      </text>
    </comment>
    <comment ref="AH38" authorId="3" shapeId="0" xr:uid="{64BBC6B6-1989-4BFA-8D7A-D0ECAF5188A6}">
      <text>
        <r>
          <rPr>
            <sz val="11"/>
            <color rgb="FF000000"/>
            <rFont val="Aptos Narrow"/>
            <family val="2"/>
          </rPr>
          <t xml:space="preserve">Karishma Shah:
</t>
        </r>
        <r>
          <rPr>
            <sz val="11"/>
            <color rgb="FF000000"/>
            <rFont val="Aptos Narrow"/>
            <family val="2"/>
          </rPr>
          <t>I’m projecting 75.0% in 2026 because pharmacy costs are still elevated relative to both the 3-year (73.53%) and 5-year (71.45%) averages, but I don’t think the recent ~78% level is fully sustainable. In its 10-K, The Cigna Group explains that pharmacy and other service costs are largely tied to client volume and drug costs, especially specialty medications (10-K, p. 3–5, p. 30). The company also highlights continued growth in Evernorth, which increases the weight of pharmacy-related costs in total revenue. On top of that, industry trends show rising spending on specialty drugs and treatments like GLP-1s, which are driving higher pharmacy costs overall. My thinking is that these pressures remain in the near term, keeping the ratio elevated, but not at peak levels.</t>
        </r>
      </text>
    </comment>
    <comment ref="AI38" authorId="3" shapeId="0" xr:uid="{9579F9F8-EE73-41B1-BB30-469566455BC0}">
      <text>
        <r>
          <rPr>
            <sz val="11"/>
            <color theme="1"/>
            <rFont val="Aptos Narrow"/>
            <family val="2"/>
            <scheme val="minor"/>
          </rPr>
          <t>Karishma Shah:
I bring it down to 73.5% as the ratio begins to normalize, roughly aligning with the 3-year average. The 10-K indicates that pharmacy costs are often passed through to clients, meaning they move with revenue but don’t always expand as a percentage long term (p. 30–31). As pricing adjusts and rebate structures catch up, the extreme spike starts to ease. However, since Evernorth remains a major growth driver and drug utilization is still increasing, the ratio stays relatively high.</t>
        </r>
      </text>
    </comment>
    <comment ref="AJ38" authorId="3" shapeId="0" xr:uid="{7B0F786F-3DAE-46DE-AC2E-D2190EC1FD02}">
      <text>
        <r>
          <rPr>
            <sz val="11"/>
            <color theme="1"/>
            <rFont val="Aptos Narrow"/>
            <family val="2"/>
            <scheme val="minor"/>
          </rPr>
          <t>Karishma Shah:
By 2028, I move to 72.5% as the business stabilizes further. The 10-K highlights that Evernorth continues to scale and serve a large client base, which supports stable but not accelerating cost ratios (p. 3–5). At the same time, the company operates in a competitive pharmacy benefit management market, where pricing, contracts, and rebates limit long-term expansion in cost ratios (p. 31). My thinking is that we’re now moving away from temporary cost spikes and toward a more normalized level.</t>
        </r>
      </text>
    </comment>
    <comment ref="AK38" authorId="3" shapeId="0" xr:uid="{C5853DE7-99D8-44FA-AE21-B6FB9820BA1A}">
      <text>
        <r>
          <rPr>
            <sz val="11"/>
            <color theme="1"/>
            <rFont val="Aptos Narrow"/>
            <family val="2"/>
            <scheme val="minor"/>
          </rPr>
          <t>Karishma Shah:
The 10-K discusses competition and client pricing sensitivity, which puts pressure on maintaining high cost ratios over time (p. 31). As contracts reset and pricing becomes more balanced, pharmacy costs grow more in line with revenue rather than outpacing it. At this point, I’m assuming the business mix is stable and no longer pushing the ratio higher.</t>
        </r>
      </text>
    </comment>
    <comment ref="AL38" authorId="3" shapeId="0" xr:uid="{9FD59F9D-6D11-4B90-8A5D-6E4C6EE0827C}">
      <text>
        <r>
          <rPr>
            <sz val="11"/>
            <color theme="1"/>
            <rFont val="Aptos Narrow"/>
            <family val="2"/>
            <scheme val="minor"/>
          </rPr>
          <t>Karishma Shah:
I end it with 71.5%, which aligns with the 5-year average and represents a steady-state level. The 10-K makes it clear that long-term pharmacy costs are driven by utilization and drug pricing trends, both of which grow steadily but not excessively (p. 30–31). My logic is that while Evernorth remains a large part of the business, competitive dynamics and contract structures prevent the ratio from staying elevated, bringing it back toward its long-term average disregarding any macro chnages.</t>
        </r>
      </text>
    </comment>
    <comment ref="T39" authorId="1" shapeId="0" xr:uid="{EB8518BB-D049-1A4F-B5DF-1B9825E2B67F}">
      <text>
        <r>
          <rPr>
            <b/>
            <sz val="10"/>
            <color rgb="FF000000"/>
            <rFont val="Tahoma"/>
            <family val="2"/>
          </rPr>
          <t>Ninaad Hadge:</t>
        </r>
        <r>
          <rPr>
            <sz val="10"/>
            <color rgb="FF000000"/>
            <rFont val="Tahoma"/>
            <family val="2"/>
          </rPr>
          <t xml:space="preserve">
</t>
        </r>
        <r>
          <rPr>
            <sz val="10"/>
            <color rgb="FF000000"/>
            <rFont val="Tahoma"/>
            <family val="2"/>
          </rPr>
          <t>Trump plans to lower premiums, however, he has hinted he might veto the bill, extending premium for three years. If Ev</t>
        </r>
        <r>
          <rPr>
            <sz val="10"/>
            <color rgb="FF000000"/>
            <rFont val="Aptos Narrow"/>
            <family val="2"/>
            <scheme val="minor"/>
          </rPr>
          <t>ernorth continues to grow faster than the insurance segment, total revenue increases without a proportional increase in medical claims, which pushes this ratio slightly lower, but if Trump does not act on his healthcare plan, and premiums stay, the growth wlil be declining but still at a much slower pace</t>
        </r>
      </text>
    </comment>
    <comment ref="X39" authorId="1" shapeId="0" xr:uid="{D6912B2B-8370-F24A-9A39-C903473B5971}">
      <text>
        <r>
          <rPr>
            <b/>
            <sz val="10"/>
            <color rgb="FF000000"/>
            <rFont val="Tahoma"/>
            <family val="2"/>
          </rPr>
          <t>Ninaad Hadge:</t>
        </r>
        <r>
          <rPr>
            <sz val="10"/>
            <color rgb="FF000000"/>
            <rFont val="Tahoma"/>
            <family val="2"/>
          </rPr>
          <t xml:space="preserve">
</t>
        </r>
        <r>
          <rPr>
            <sz val="10"/>
            <color rgb="FF000000"/>
            <rFont val="Tahoma"/>
            <family val="2"/>
          </rPr>
          <t xml:space="preserve">This is the year after Trump's hinting of vetoing the bill, which extends the premium to three years (2029) after that they would lower, making the decline more significant
</t>
        </r>
      </text>
    </comment>
    <comment ref="AA39" authorId="2" shapeId="0" xr:uid="{C3D4D774-9F74-40F1-AE20-0B3ABF803E03}">
      <text>
        <r>
          <rPr>
            <sz val="11"/>
            <color theme="1"/>
            <rFont val="Aptos Narrow"/>
            <family val="2"/>
            <scheme val="minor"/>
          </rPr>
          <t>Zohaib Sheikh:
I believe 13% medical costs as a percentage of revenue is appropriate for the bear case. This line was 12.5% in FY2025, which benefited from the HCSC transaction removing the Medicare Advantage book. In a bear scenario, medical trend is running 7-8% annually and premium growth can't keep pace in a weak economy.</t>
        </r>
      </text>
    </comment>
    <comment ref="AB39" authorId="2" shapeId="0" xr:uid="{C299CD0C-E602-4316-BA39-2DA38C434A73}">
      <text>
        <r>
          <rPr>
            <sz val="11"/>
            <color theme="1"/>
            <rFont val="Aptos Narrow"/>
            <family val="2"/>
            <scheme val="minor"/>
          </rPr>
          <t>Zohaib Sheikh:
I believe 13.2% reflects medical trend staying hot while premiums continue to lag behind cost inflation.</t>
        </r>
      </text>
    </comment>
    <comment ref="AC39" authorId="2" shapeId="0" xr:uid="{980B32C1-33BB-4082-A083-988294B5320B}">
      <text>
        <r>
          <rPr>
            <sz val="11"/>
            <color theme="1"/>
            <rFont val="Aptos Narrow"/>
            <family val="2"/>
            <scheme val="minor"/>
          </rPr>
          <t>Zohaib Sheikh:
I believe 13.5% is appropriate as GLP-1 utilization explodes and provider consolidation pushes unit costs higher.</t>
        </r>
      </text>
    </comment>
    <comment ref="AD39" authorId="2" shapeId="0" xr:uid="{23D83F51-6F01-4715-83AB-74EAA8584A56}">
      <text>
        <r>
          <rPr>
            <sz val="11"/>
            <color theme="1"/>
            <rFont val="Aptos Narrow"/>
            <family val="2"/>
            <scheme val="minor"/>
          </rPr>
          <t>Zohaib Sheikh:
I believe 13.7% reflects medical trend stubbornly running above premium increases on a sustained basis.</t>
        </r>
      </text>
    </comment>
    <comment ref="AE39" authorId="2" shapeId="0" xr:uid="{E8E303D0-CA3E-4BEF-B04D-F1D8B561031A}">
      <text>
        <r>
          <rPr>
            <sz val="11"/>
            <color theme="1"/>
            <rFont val="Aptos Narrow"/>
            <family val="2"/>
            <scheme val="minor"/>
          </rPr>
          <t>Zohaib Sheikh:
I believe 14% is the terminal level, reflecting a structurally higher medical cost environment.</t>
        </r>
      </text>
    </comment>
    <comment ref="AH39" authorId="3" shapeId="0" xr:uid="{91E21BDA-30E3-4E69-B489-65D545118791}">
      <text>
        <r>
          <rPr>
            <sz val="11"/>
            <color rgb="FF000000"/>
            <rFont val="Aptos Narrow"/>
            <family val="2"/>
          </rPr>
          <t xml:space="preserve">Karishma Shah:
</t>
        </r>
        <r>
          <rPr>
            <sz val="11"/>
            <color rgb="FF000000"/>
            <rFont val="Aptos Narrow"/>
            <family val="2"/>
          </rPr>
          <t>I project 12.30% in 2026, slightly below the current 12.50%, because the decline in this ratio is mainly driven by business mix rather than actual cost reductions. In its 10-K, The Cigna Group shows that Evernorth is a major and growing contributor to total revenue and serves a broad client base across pharmacy and care services (10-K, p. 3–5). At the same time, medical costs are tied specifically to the insurance segment and are driven by utilization and provider pricing (10-K, p. 18–19). My thinking is that as Evernorth continues to grow faster than the insurance segment, total revenue increases without a proportional increase in medical claims, which pushes this ratio slightly lower.</t>
        </r>
      </text>
    </comment>
    <comment ref="AI39" authorId="3" shapeId="0" xr:uid="{B7B33966-00FA-49DB-B625-5090536C3AAD}">
      <text>
        <r>
          <rPr>
            <sz val="11"/>
            <color rgb="FF000000"/>
            <rFont val="Aptos Narrow"/>
            <family val="2"/>
          </rPr>
          <t xml:space="preserve">Karishma Shah:
</t>
        </r>
        <r>
          <rPr>
            <sz val="11"/>
            <color rgb="FF000000"/>
            <rFont val="Aptos Narrow"/>
            <family val="2"/>
          </rPr>
          <t>The 10-K makes it clear that medical costs are still increasing due to higher utilization and provider costs (p. 18–19), so I am not assuming any actual cost reduction. Instead, the reason the ratio falls is because Evernorth continues to grow faster than the insurance segment (p. 3–5, p. 30). My view is that revenue growth is still being driven more by services than insurance, which keeps pushing this percentage down, but not at the same speed as earlier years.</t>
        </r>
      </text>
    </comment>
    <comment ref="AJ39" authorId="3" shapeId="0" xr:uid="{DE1013EC-1399-4C26-87F7-9F0A32B9AE09}">
      <text>
        <r>
          <rPr>
            <sz val="11"/>
            <color theme="1"/>
            <rFont val="Aptos Narrow"/>
            <family val="2"/>
            <scheme val="minor"/>
          </rPr>
          <t>Karishma Shah:
By 2028, I move to 11.70% because the business mix is starting to stabilize. The 10-K highlights that Evernorth operates at large scale and is already a significant part of the company (p. 3–5), so future growth in that segment won’t change the mix as dramatically as before. At this point, my thinking is that we are transitioning from a period of rapid mix shift into a more normal growth phase, where both segments are growing but the gap between them is smaller.</t>
        </r>
      </text>
    </comment>
    <comment ref="AK39" authorId="3" shapeId="0" xr:uid="{46D4851A-2792-4A85-8D02-12E7F5528DD8}">
      <text>
        <r>
          <rPr>
            <sz val="11"/>
            <color theme="1"/>
            <rFont val="Aptos Narrow"/>
            <family val="2"/>
            <scheme val="minor"/>
          </rPr>
          <t>Karishma Shah:
I bring it down slightly to 11.50% in 2029. The 10-K also discusses the competitive environment and pricing sensitivity in healthcare (p. 19, p. 31), which limits how much any one segment can dominate over time. My thinking is that the insurance segment is no longer shrinking meaningfully as a share of revenue, so the denominator effect becomes weaker, and the decline in this ratio slows down significantly.</t>
        </r>
      </text>
    </comment>
    <comment ref="T40" authorId="3" shapeId="0" xr:uid="{B2FE6162-EA01-47D0-A670-B3A035394ECB}">
      <text>
        <r>
          <rPr>
            <sz val="11"/>
            <color theme="1"/>
            <rFont val="Aptos Narrow"/>
            <family val="2"/>
            <scheme val="minor"/>
          </rPr>
          <t>Karishma Shah:
Cigna has already shown a sharp decline in SG&amp;A over the past few years, which suggests the company is successfully scaling its operations. In a more favorable scenario, I think the company continues to benefit from prior investments in automation, digital tools, and centralized operations, which allow it to grow revenue without increasing overhead at the same rate. Since much of Cigna’s growth is driven by service-based platforms like Evernorth, which scale efficiently, SG&amp;A can fall faster than expected (The Cigna Group 42–44).</t>
        </r>
      </text>
    </comment>
    <comment ref="U40" authorId="3" shapeId="0" xr:uid="{D9669FA5-94B0-487B-A917-832FBD2C23A5}">
      <text>
        <r>
          <rPr>
            <sz val="11"/>
            <color theme="1"/>
            <rFont val="Aptos Narrow"/>
            <family val="2"/>
            <scheme val="minor"/>
          </rPr>
          <t>Karishma Shah:
At this point, I assume that improvements are not just from past cost-cutting, but from structural advantages in the business model. As Cigna continues to shift toward pharmacy services and integrated care platforms, it can spread fixed costs across a larger revenue base. At the same time, broader industry trends show healthcare companies increasing the use of AI, automation, and digital engagement, which reduces administrative costs over time (Deloitte, “2026 US Health Care Outlook”).</t>
        </r>
      </text>
    </comment>
    <comment ref="AA40" authorId="2" shapeId="0" xr:uid="{468FB539-DF6A-4990-AD41-727984999383}">
      <text>
        <r>
          <rPr>
            <sz val="11"/>
            <color theme="1"/>
            <rFont val="Aptos Narrow"/>
            <family val="2"/>
            <scheme val="minor"/>
          </rPr>
          <t>Zohaib Sheikh:
I believe 5.6% SG&amp;A is appropriate for the bear case. This line was 5.3% in FY2025. The Strategic Optimization Program ($749M in announced savings) is expected to deliver less than planned, and as revenue growth slows, the company loses operating leverage.</t>
        </r>
      </text>
    </comment>
    <comment ref="AB40" authorId="2" shapeId="0" xr:uid="{6FC4925E-64B6-4DCD-917B-A3F4C236EF7C}">
      <text>
        <r>
          <rPr>
            <sz val="11"/>
            <color theme="1"/>
            <rFont val="Aptos Narrow"/>
            <family val="2"/>
            <scheme val="minor"/>
          </rPr>
          <t>Zohaib Sheikh:
I believe 5.7% reflects fixed costs becoming heavier as revenue growth decelerates. Technology and compliance investments don't stop in a downturn.</t>
        </r>
      </text>
    </comment>
    <comment ref="AC40" authorId="2" shapeId="0" xr:uid="{33BCB272-9E45-420B-9585-893CCAC59BE1}">
      <text>
        <r>
          <rPr>
            <sz val="11"/>
            <color theme="1"/>
            <rFont val="Aptos Narrow"/>
            <family val="2"/>
            <scheme val="minor"/>
          </rPr>
          <t>Zohaib Sheikh:
 I believe 5.8% is appropriate as there is no operating leverage in the bear case. PBM transparency regulations add incremental compliance costs.</t>
        </r>
      </text>
    </comment>
    <comment ref="AD40" authorId="2" shapeId="0" xr:uid="{32971E86-50D5-440B-A010-DEA063201D0B}">
      <text>
        <r>
          <rPr>
            <sz val="11"/>
            <color theme="1"/>
            <rFont val="Aptos Narrow"/>
            <family val="2"/>
            <scheme val="minor"/>
          </rPr>
          <t>Zohaib Sheikh:
I believe 5.9% reflects state mandates and federal compliance requirements continuing to layer on costs.</t>
        </r>
      </text>
    </comment>
    <comment ref="AE40" authorId="2" shapeId="0" xr:uid="{2367D02E-DF04-4EB7-A8EA-71A9184D8DF1}">
      <text>
        <r>
          <rPr>
            <sz val="11"/>
            <color theme="1"/>
            <rFont val="Aptos Narrow"/>
            <family val="2"/>
            <scheme val="minor"/>
          </rPr>
          <t>Zohaib Sheikh:
I believe 6% is the terminal level. Optimization savings are fully offset by the ongoing regulatory and compliance burden.</t>
        </r>
      </text>
    </comment>
    <comment ref="AH40" authorId="3" shapeId="0" xr:uid="{B0A598EE-DF93-40FE-AED0-8F53214084D7}">
      <text>
        <r>
          <rPr>
            <sz val="11"/>
            <color rgb="FF000000"/>
            <rFont val="Aptos Narrow"/>
            <family val="2"/>
          </rPr>
          <t xml:space="preserve">Karishma Shah:
</t>
        </r>
        <r>
          <rPr>
            <sz val="11"/>
            <color rgb="FF000000"/>
            <rFont val="Aptos Narrow"/>
            <family val="2"/>
          </rPr>
          <t>SG&amp;A is projected at 5.25% in 2026, slightly below the current 5.32%, reflecting continued operating leverage as revenue grows faster than administrative costs. In its 10-K, The Cigna Group highlights that a significant portion of revenue growth is driven by Evernorth, a service-based segment that scales efficiently and does not require proportional increases in overhead (p. 3–5). SG&amp;A consists largely of corporate and administrative expenses, which tend to grow more slowly than revenue. As a result, the ratio continues to decline, though at a more moderate pace given that much of the recent efficiency improvement has already occurred.</t>
        </r>
      </text>
    </comment>
    <comment ref="AI40" authorId="3" shapeId="0" xr:uid="{76576278-C045-49A1-96E0-9F28C76CCE19}">
      <text>
        <r>
          <rPr>
            <sz val="11"/>
            <color rgb="FF000000"/>
            <rFont val="Aptos Narrow"/>
            <family val="2"/>
          </rPr>
          <t xml:space="preserve">Karishma Shah:
</t>
        </r>
        <r>
          <rPr>
            <sz val="11"/>
            <color rgb="FF000000"/>
            <rFont val="Aptos Narrow"/>
            <family val="2"/>
          </rPr>
          <t>SG&amp;A declines slightly to 5.20% in 2027 as operating leverage persists but begins to weaken. The 10-K notes the company’s focus on cost discipline and efficiency (p. 18–19), which helps control the growth of administrative expenses. At the same time, Evernorth continues to drive revenue expansion (p. 3–5, p. 30). This supports further, though smaller, reductions in SG&amp;A as a percentage of revenue, as the gap between revenue growth and expense growth narrows.</t>
        </r>
      </text>
    </comment>
    <comment ref="AJ40" authorId="3" shapeId="0" xr:uid="{30C9E070-6D88-4144-A46F-6AA7CE1976C1}">
      <text>
        <r>
          <rPr>
            <sz val="11"/>
            <color theme="1"/>
            <rFont val="Aptos Narrow"/>
            <family val="2"/>
            <scheme val="minor"/>
          </rPr>
          <t>Karishma Shah:
By 2028, SG&amp;A is projected at 5.15% as the benefits from scale begin to level off. The 10-K indicates that Evernorth is already a large and established portion of the business (p. 3–5), meaning additional growth contributes less to further efficiency gains. As the company matures, SG&amp;A and revenue begin to grow at more similar rates, resulting in a smaller decline in the ratio.</t>
        </r>
      </text>
    </comment>
    <comment ref="AK40" authorId="3" shapeId="0" xr:uid="{6E0BF8CA-E6FB-412E-9A5C-6BF86E255A55}">
      <text>
        <r>
          <rPr>
            <sz val="11"/>
            <color theme="1"/>
            <rFont val="Aptos Narrow"/>
            <family val="2"/>
            <scheme val="minor"/>
          </rPr>
          <t>Karishma Shah:
SG&amp;A decreases to 5.10% in 2029 as the company approaches a more stable cost structure. The 10-K highlights a competitive and cost-sensitive environment (p. 19, p. 31), requiring ongoing investment in operations, client support, and technology. These factors limit the extent of further efficiency gains, leading to only marginal improvement in the ratio.</t>
        </r>
      </text>
    </comment>
    <comment ref="T41" authorId="1" shapeId="0" xr:uid="{7DCDD9C2-3B9A-7B45-8D1B-518DB3197E68}">
      <text>
        <r>
          <rPr>
            <b/>
            <sz val="10"/>
            <color rgb="FF000000"/>
            <rFont val="Tahoma"/>
            <family val="2"/>
          </rPr>
          <t>Ninaad Hadge:</t>
        </r>
        <r>
          <rPr>
            <sz val="10"/>
            <color rgb="FF000000"/>
            <rFont val="Tahoma"/>
            <family val="2"/>
          </rPr>
          <t xml:space="preserve">
</t>
        </r>
        <r>
          <rPr>
            <sz val="10"/>
            <color rgb="FF000000"/>
            <rFont val="Tahoma"/>
            <family val="2"/>
          </rPr>
          <t xml:space="preserve">Amortization is spreading out the costs over the years
</t>
        </r>
      </text>
    </comment>
    <comment ref="AA41" authorId="2" shapeId="0" xr:uid="{182B9BC2-C2CD-4A76-9681-BC7C16BFFBFB}">
      <text>
        <r>
          <rPr>
            <sz val="11"/>
            <color theme="1"/>
            <rFont val="Aptos Narrow"/>
            <family val="2"/>
            <scheme val="minor"/>
          </rPr>
          <t>Zohaib Sheikh:
I'm assuming this same as base. ESI acquisition intangibles amortize on a fixed schedule, same across all scenarios.</t>
        </r>
      </text>
    </comment>
    <comment ref="AB41" authorId="2" shapeId="0" xr:uid="{31223609-CE43-4B95-99A1-8801FBFFF858}">
      <text>
        <r>
          <rPr>
            <sz val="11"/>
            <color theme="1"/>
            <rFont val="Aptos Narrow"/>
            <family val="2"/>
            <scheme val="minor"/>
          </rPr>
          <t>Zohaib Sheikh:
I believe 0.63% reflects the scheduled step-down in amortization as ESI intangibles continue to roll off.</t>
        </r>
      </text>
    </comment>
    <comment ref="AC41" authorId="2" shapeId="0" xr:uid="{2585BC52-DE2C-4265-A4A8-B92A1913EE8C}">
      <text>
        <r>
          <rPr>
            <sz val="11"/>
            <color theme="1"/>
            <rFont val="Aptos Narrow"/>
            <family val="2"/>
            <scheme val="minor"/>
          </rPr>
          <t>Zohaib Sheikh:
I believe 0.61% reflects the continued scheduled decline.</t>
        </r>
      </text>
    </comment>
    <comment ref="AD41" authorId="2" shapeId="0" xr:uid="{ABAF69A6-F056-4225-A0ED-81A4768A1754}">
      <text>
        <r>
          <rPr>
            <sz val="11"/>
            <color theme="1"/>
            <rFont val="Aptos Narrow"/>
            <family val="2"/>
            <scheme val="minor"/>
          </rPr>
          <t>Zohaib Sheikh:
I believe 0.6% is appropriate as we approach the full amortization of the ESI deal intangibles.</t>
        </r>
      </text>
    </comment>
    <comment ref="AE41" authorId="2" shapeId="0" xr:uid="{3E3BBDA3-7BF6-48B9-AD5A-9EC17A27E1E8}">
      <text>
        <r>
          <rPr>
            <sz val="11"/>
            <color theme="1"/>
            <rFont val="Aptos Narrow"/>
            <family val="2"/>
            <scheme val="minor"/>
          </rPr>
          <t>Zohaib Sheikh:
I believe 0.6% is the terminal level, reflecting residual intangible assets.</t>
        </r>
      </text>
    </comment>
    <comment ref="AH41" authorId="3" shapeId="0" xr:uid="{778A8E0E-F95B-4C95-B6EA-D01A0FC3FEC5}">
      <text>
        <r>
          <rPr>
            <sz val="11"/>
            <color rgb="FF000000"/>
            <rFont val="Aptos Narrow"/>
            <family val="2"/>
          </rPr>
          <t xml:space="preserve">Karishma Shah:
</t>
        </r>
        <r>
          <rPr>
            <sz val="11"/>
            <color rgb="FF000000"/>
            <rFont val="Aptos Narrow"/>
            <family val="2"/>
          </rPr>
          <t>Amortization of acquired intangible assets is projected at 0.62% in 2026, slightly below the current 0.63%, reflecting the gradual runoff of previously acquired intangible assets. In its 10-K, The Cigna Group explains that amortization expense is tied to intangible assets from past acquisitions and is recognized over their useful lives (10-K, p. 60–62). Because this expense is largely fixed and does not scale with revenue, continued revenue growth causes amortization to decline as a percentage of total revenue.</t>
        </r>
      </text>
    </comment>
    <comment ref="AI41" authorId="3" shapeId="0" xr:uid="{A0B96E84-D7EA-4DF5-BF35-659537BCE0B1}">
      <text>
        <r>
          <rPr>
            <sz val="11"/>
            <color theme="1"/>
            <rFont val="Aptos Narrow"/>
            <family val="2"/>
            <scheme val="minor"/>
          </rPr>
          <t>Karishma Shah:
The ratio declines to 0.60% in 2027 as the amortization base continues to run off. The 10-K indicates that these intangible assets are amortized on a scheduled basis (p. 60–62), meaning expense remains relatively stable while revenue continues to grow. This results in a continued, but moderate, decline in the ratio.</t>
        </r>
      </text>
    </comment>
    <comment ref="AJ41" authorId="3" shapeId="0" xr:uid="{DA70E94F-CE58-42C6-83E3-CE6934611500}">
      <text>
        <r>
          <rPr>
            <sz val="11"/>
            <color theme="1"/>
            <rFont val="Aptos Narrow"/>
            <family val="2"/>
            <scheme val="minor"/>
          </rPr>
          <t>Karishma Shah:
By 2028, amortization is projected at 0.58% as the rate of decline slows. While older intangible assets continue to amortize, the company’s ongoing acquisition strategy may introduce new intangible assets (10-K, p. 6–8), partially offsetting the decline. As a result, the ratio continues to decrease, but at a more gradual pace.</t>
        </r>
      </text>
    </comment>
    <comment ref="AK41" authorId="3" shapeId="0" xr:uid="{BBC1131A-38A4-4595-B131-C8203CE2D86E}">
      <text>
        <r>
          <rPr>
            <sz val="11"/>
            <color theme="1"/>
            <rFont val="Aptos Narrow"/>
            <family val="2"/>
            <scheme val="minor"/>
          </rPr>
          <t>Karishma Shah:
Amortization declines to 0.56% in 2029 as the balance between runoff of older assets and addition of new intangible assets becomes more even. The 10-K notes that acquisitions remain part of the company’s growth strategy (p. 6–8), which limits further sharp declines in amortization expense as a percentage of revenue.</t>
        </r>
      </text>
    </comment>
    <comment ref="T42" authorId="0" shapeId="0" xr:uid="{BA84C5B8-56E5-4763-AE5A-7A275EDD531E}">
      <text>
        <r>
          <rPr>
            <b/>
            <sz val="9"/>
            <color indexed="81"/>
            <rFont val="Tahoma"/>
            <family val="2"/>
          </rPr>
          <t>Matthew DiCarlo:</t>
        </r>
        <r>
          <rPr>
            <sz val="9"/>
            <color indexed="81"/>
            <rFont val="Tahoma"/>
            <family val="2"/>
          </rPr>
          <t xml:space="preserve">
Has been 0, will project the same</t>
        </r>
      </text>
    </comment>
    <comment ref="AA42" authorId="2" shapeId="0" xr:uid="{ADED76BC-0AD4-4D19-84ED-D467DF1D9BAB}">
      <text>
        <r>
          <rPr>
            <sz val="11"/>
            <color theme="1"/>
            <rFont val="Aptos Narrow"/>
            <family val="2"/>
            <scheme val="minor"/>
          </rPr>
          <t>Zohaib Sheikh:
I believe holding this cost at 0% is appropriate because this line has been at 0% since FY2023, and I don't expect any early redemptions or tender offers in a bear scenario where Cigna would be conserving cash.</t>
        </r>
      </text>
    </comment>
    <comment ref="AA44" authorId="2" shapeId="0" xr:uid="{E61C0040-A8D9-4174-9D43-7396C3C20984}">
      <text>
        <r>
          <rPr>
            <sz val="11"/>
            <color theme="1"/>
            <rFont val="Aptos Narrow"/>
            <family val="2"/>
            <scheme val="minor"/>
          </rPr>
          <t>Zohaib Sheikh:
Ineligible to forecast.
1) VillageMD distortion makes trend-based forecast meaningless. 
2)Not reasonably predictable (adding a speculative loss number would be adding noise,not analytical rigor).</t>
        </r>
      </text>
    </comment>
    <comment ref="AH44" authorId="1" shapeId="0" xr:uid="{23988D95-45EA-2840-97EE-C0E4C99C17D0}">
      <text>
        <r>
          <rPr>
            <b/>
            <sz val="10"/>
            <color rgb="FF000000"/>
            <rFont val="Tahoma"/>
            <family val="2"/>
          </rPr>
          <t>Ninaad Hadge:</t>
        </r>
        <r>
          <rPr>
            <sz val="10"/>
            <color rgb="FF000000"/>
            <rFont val="Tahoma"/>
            <family val="2"/>
          </rPr>
          <t xml:space="preserve">
</t>
        </r>
        <r>
          <rPr>
            <sz val="10"/>
            <color rgb="FF000000"/>
            <rFont val="Tahoma"/>
            <family val="2"/>
          </rPr>
          <t xml:space="preserve">Made a relatively moderate change from 2025 as they have no plans on major aquisitions for the next 5 years
</t>
        </r>
      </text>
    </comment>
    <comment ref="T45" authorId="1" shapeId="0" xr:uid="{07D6E92F-9AF8-964D-9FB9-F16171819FA3}">
      <text>
        <r>
          <rPr>
            <b/>
            <sz val="10"/>
            <color rgb="FF000000"/>
            <rFont val="Tahoma"/>
            <family val="2"/>
          </rPr>
          <t>Ninaad Hadge:</t>
        </r>
        <r>
          <rPr>
            <sz val="10"/>
            <color rgb="FF000000"/>
            <rFont val="Tahoma"/>
            <family val="2"/>
          </rPr>
          <t xml:space="preserve">
</t>
        </r>
        <r>
          <rPr>
            <sz val="10"/>
            <color rgb="FF000000"/>
            <rFont val="Tahoma"/>
            <family val="2"/>
          </rPr>
          <t>Based on historical averages</t>
        </r>
      </text>
    </comment>
    <comment ref="AA45" authorId="1" shapeId="0" xr:uid="{3C073289-D6DA-F941-9532-6BEEDC10BD77}">
      <text>
        <r>
          <rPr>
            <b/>
            <sz val="10"/>
            <color rgb="FF000000"/>
            <rFont val="Tahoma"/>
            <family val="2"/>
          </rPr>
          <t>Ninaad Hadge:</t>
        </r>
        <r>
          <rPr>
            <sz val="10"/>
            <color rgb="FF000000"/>
            <rFont val="Tahoma"/>
            <family val="2"/>
          </rPr>
          <t xml:space="preserve">
</t>
        </r>
        <r>
          <rPr>
            <sz val="10"/>
            <color rgb="FF000000"/>
            <rFont val="Tahoma"/>
            <family val="2"/>
          </rPr>
          <t xml:space="preserve">Based off downwards trends and leaning more toward the bearish side of the base assumptions
</t>
        </r>
      </text>
    </comment>
    <comment ref="AH45" authorId="1" shapeId="0" xr:uid="{82A380CF-9E4F-9646-ADE3-69C60A0B7813}">
      <text>
        <r>
          <rPr>
            <b/>
            <sz val="10"/>
            <color rgb="FF000000"/>
            <rFont val="Tahoma"/>
            <family val="2"/>
          </rPr>
          <t>Ninaad Hadge:</t>
        </r>
        <r>
          <rPr>
            <sz val="10"/>
            <color rgb="FF000000"/>
            <rFont val="Tahoma"/>
            <family val="2"/>
          </rPr>
          <t xml:space="preserve">
</t>
        </r>
        <r>
          <rPr>
            <sz val="10"/>
            <color rgb="FF000000"/>
            <rFont val="Tahoma"/>
            <family val="2"/>
          </rPr>
          <t xml:space="preserve">Based on the average and trends for the past 3-5 years, I kept a relative downwards growth rate keeping in the negative range
</t>
        </r>
      </text>
    </comment>
    <comment ref="T47" authorId="0" shapeId="0" xr:uid="{C6302A0A-1E82-421B-963F-75950470DB9B}">
      <text>
        <r>
          <rPr>
            <b/>
            <sz val="9"/>
            <color indexed="81"/>
            <rFont val="Tahoma"/>
            <family val="2"/>
          </rPr>
          <t>Matthew DiCarlo:</t>
        </r>
        <r>
          <rPr>
            <sz val="9"/>
            <color indexed="81"/>
            <rFont val="Tahoma"/>
            <family val="2"/>
          </rPr>
          <t xml:space="preserve">
Considering the onlt year the income tax wasn’t near 20 was due to loss on sale on business, taking a more optimistic approach towards the business, I can assume an increase in income taxes starting at 20 and rasing by 1.25% each year
</t>
        </r>
      </text>
    </comment>
    <comment ref="AH47" authorId="0" shapeId="0" xr:uid="{2FD2D2A1-F548-4113-A3D0-8A0C7F2947C2}">
      <text>
        <r>
          <rPr>
            <b/>
            <sz val="9"/>
            <color indexed="81"/>
            <rFont val="Tahoma"/>
            <family val="2"/>
          </rPr>
          <t>Matthew DiCarlo:</t>
        </r>
        <r>
          <rPr>
            <sz val="9"/>
            <color indexed="81"/>
            <rFont val="Tahoma"/>
            <family val="2"/>
          </rPr>
          <t xml:space="preserve">
Taking a more modest approach to our income, having a slight increase in income tax seems probable. Going to use 17 as a base and increase by .25% as years continue and the company starts to make more money</t>
        </r>
      </text>
    </comment>
    <comment ref="T49" authorId="0" shapeId="0" xr:uid="{33476EA1-DEE6-4B3B-A651-601FFC1FE722}">
      <text>
        <r>
          <rPr>
            <b/>
            <sz val="9"/>
            <color indexed="81"/>
            <rFont val="Tahoma"/>
            <family val="2"/>
          </rPr>
          <t>Matthew DiCarlo:</t>
        </r>
        <r>
          <rPr>
            <sz val="9"/>
            <color indexed="81"/>
            <rFont val="Tahoma"/>
            <family val="2"/>
          </rPr>
          <t xml:space="preserve">
Cannot predict, took the average of 3 and 5 year</t>
        </r>
      </text>
    </comment>
    <comment ref="AA49" authorId="0" shapeId="0" xr:uid="{9C1E893E-A48B-4327-B517-E241BFA81E58}">
      <text>
        <r>
          <rPr>
            <b/>
            <sz val="9"/>
            <color indexed="81"/>
            <rFont val="Tahoma"/>
            <family val="2"/>
          </rPr>
          <t>Matthew DiCarlo:</t>
        </r>
        <r>
          <rPr>
            <sz val="9"/>
            <color indexed="81"/>
            <rFont val="Tahoma"/>
            <family val="2"/>
          </rPr>
          <t xml:space="preserve">
Cannot predict, took the average of 3 and 5 year</t>
        </r>
      </text>
    </comment>
    <comment ref="AH49" authorId="0" shapeId="0" xr:uid="{6E529774-A6E8-4A15-88C5-CB39BABB810B}">
      <text>
        <r>
          <rPr>
            <b/>
            <sz val="9"/>
            <color indexed="81"/>
            <rFont val="Tahoma"/>
            <family val="2"/>
          </rPr>
          <t>Matthew DiCarlo:</t>
        </r>
        <r>
          <rPr>
            <sz val="9"/>
            <color indexed="81"/>
            <rFont val="Tahoma"/>
            <family val="2"/>
          </rPr>
          <t xml:space="preserve">
Cannot predict, took the average of 3 and 5 year</t>
        </r>
      </text>
    </comment>
    <comment ref="T51" authorId="3" shapeId="0" xr:uid="{23BF3F4E-5435-4113-9CF0-60F71F911A7E}">
      <text>
        <r>
          <rPr>
            <sz val="11"/>
            <color theme="1"/>
            <rFont val="Aptos Narrow"/>
            <family val="2"/>
            <scheme val="minor"/>
          </rPr>
          <t>Karishma Shah:
Depreciation comes from spreading out the cost of physical assets like buildings, equipment, and technology over time. The Cigna Group explains in its 10-K that depreciation is based on property and equipment and their useful lives (10-K, p. 94–96).
Cigna’s 10-K does not indicate a shift toward capital-intensive investments, as growth is focused on services, pharmacy networks, and technology rather than physical infrastructure. As a result, there is no strong reason to expect a meaningful increase in depreciation, supporting a gradual decline. Because of this, I continue the trend slightly instead of assuming any increase.</t>
        </r>
      </text>
    </comment>
    <comment ref="U51" authorId="3" shapeId="0" xr:uid="{5D1401E5-ED57-44BB-80F1-BF48908251EE}">
      <text>
        <r>
          <rPr>
            <sz val="11"/>
            <color theme="1"/>
            <rFont val="Aptos Narrow"/>
            <family val="2"/>
            <scheme val="minor"/>
          </rPr>
          <t>Karishma Shah:
Since the company is not heavily investing in physical assets, older assets continue to be depreciated without being replaced at a higher rate. The 10-K continues to show historically that growth is driven more by services and healthcare operations rather than physical expansion, so I keep the decline small and consistent.</t>
        </r>
      </text>
    </comment>
    <comment ref="V51" authorId="3" shapeId="0" xr:uid="{7314ADEB-55AE-44FA-89A4-CBA7E42DFEC1}">
      <text>
        <r>
          <rPr>
            <sz val="11"/>
            <color theme="1"/>
            <rFont val="Aptos Narrow"/>
            <family val="2"/>
            <scheme val="minor"/>
          </rPr>
          <t>Karishma Shah:
At this point, most of the change is coming from the natural aging of existing assets rather than new physical investment.
Cigna’s major deals also support this view. The company’s large acquisitions like Express Scripts (~$67B), Shields Health Solutions, and CarepathRx are all focused on pharmacy services and care networks. These are service-based, network-based, and intangible-heavy businesses, not investments in factories, real estate, or physical infrastructure. Because of that, these deals increase intangible assets and amortization, not depreciation. Since the company is growing through services rather than physical assets, there is no reason to expect depreciation to increase, so I continue the gradual decline.</t>
        </r>
      </text>
    </comment>
    <comment ref="AA51" authorId="3" shapeId="0" xr:uid="{9C7C6CBB-4750-4ED6-903D-586D2DACB8CF}">
      <text>
        <r>
          <rPr>
            <sz val="11"/>
            <color theme="1"/>
            <rFont val="Aptos Narrow"/>
            <family val="2"/>
            <scheme val="minor"/>
          </rPr>
          <t>Karishma Shah:
Depreciation comes from spreading out the cost of physical assets like buildings, equipment, and technology over time. The Cigna Group explains in its 10-K that depreciation is based on property and equipment and their useful lives (10-K, p. 94–96).
Cigna’s 10-K does not indicate a shift toward capital-intensive investments, as growth is focused on services, pharmacy networks, and technology rather than physical infrastructure. As a result, there is no strong reason to expect a meaningful increase in depreciation, supporting a gradual decline. Because of this, I continue the trend slightly instead of assuming any increase.</t>
        </r>
      </text>
    </comment>
    <comment ref="AB51" authorId="3" shapeId="0" xr:uid="{C6C3ECC1-9059-4184-A8FE-3B95FA446FD5}">
      <text>
        <r>
          <rPr>
            <sz val="11"/>
            <color theme="1"/>
            <rFont val="Aptos Narrow"/>
            <family val="2"/>
            <scheme val="minor"/>
          </rPr>
          <t>Karishma Shah:
Since the company is not heavily investing in physical assets, older assets continue to be depreciated without being replaced at a higher rate. The 10-K continues to show historically that growth is driven more by services and healthcare operations rather than physical expansion, so I keep the decline small and consistent.</t>
        </r>
      </text>
    </comment>
    <comment ref="AC51" authorId="3" shapeId="0" xr:uid="{2B90DCFE-6B78-42F5-B1C6-DED3508F8ACE}">
      <text>
        <r>
          <rPr>
            <sz val="11"/>
            <color theme="1"/>
            <rFont val="Aptos Narrow"/>
            <family val="2"/>
            <scheme val="minor"/>
          </rPr>
          <t>Karishma Shah:
At this point, most of the change is coming from the natural aging of existing assets rather than new physical investment.
Cigna’s major deals also support this view. The company’s large acquisitions like Express Scripts (~$67B), Shields Health Solutions, and CarepathRx are all focused on pharmacy services and care networks. These are service-based, network-based, and intangible-heavy businesses, not investments in factories, real estate, or physical infrastructure. Because of that, these deals increase intangible assets and amortization, not depreciation. Since the company is growing through services rather than physical assets, there is no reason to expect depreciation to increase, so I continue the gradual decline.</t>
        </r>
      </text>
    </comment>
    <comment ref="AH51" authorId="3" shapeId="0" xr:uid="{0C4EC781-D29D-4294-9D05-623722C3D4C7}">
      <text>
        <r>
          <rPr>
            <sz val="11"/>
            <color theme="1"/>
            <rFont val="Aptos Narrow"/>
            <family val="2"/>
            <scheme val="minor"/>
          </rPr>
          <t>Karishma Shah:
Depreciation comes from spreading out the cost of physical assets like buildings, equipment, and technology over time. The Cigna Group explains in its 10-K that depreciation is based on property and equipment and their useful lives (10-K, p. 94–96).
Cigna’s 10-K does not indicate a shift toward capital-intensive investments, as growth is focused on services, pharmacy networks, and technology rather than physical infrastructure. As a result, there is no strong reason to expect a meaningful increase in depreciation, supporting a gradual decline. Because of this, I continue the trend slightly instead of assuming any increase.</t>
        </r>
      </text>
    </comment>
    <comment ref="AI51" authorId="3" shapeId="0" xr:uid="{3A55FBC4-853B-4EC6-95DC-C2629718FA7D}">
      <text>
        <r>
          <rPr>
            <sz val="11"/>
            <color theme="1"/>
            <rFont val="Aptos Narrow"/>
            <family val="2"/>
            <scheme val="minor"/>
          </rPr>
          <t>Karishma Shah:
Since the company is not heavily investing in physical assets, older assets continue to be depreciated without being replaced at a higher rate. The 10-K continues to show historically that growth is driven more by services and healthcare operations rather than physical expansion, so I keep the decline small and consistent.</t>
        </r>
      </text>
    </comment>
    <comment ref="AJ51" authorId="3" shapeId="0" xr:uid="{C48A331D-B057-4DD1-9A86-53B45F9D95F0}">
      <text>
        <r>
          <rPr>
            <sz val="11"/>
            <color theme="1"/>
            <rFont val="Aptos Narrow"/>
            <family val="2"/>
            <scheme val="minor"/>
          </rPr>
          <t>Karishma Shah:
At this point, most of the change is coming from the natural aging of existing assets rather than new physical investment.
Cigna’s major deals also support this view. The company’s large acquisitions like Express Scripts (~$67B), Shields Health Solutions, and CarepathRx are all focused on pharmacy services and care networks. These are service-based, network-based, and intangible-heavy businesses, not investments in factories, real estate, or physical infrastructure. Because of that, these deals increase intangible assets and amortization, not depreciation. Since the company is growing through services rather than physical assets, there is no reason to expect depreciation to increase, so I continue the gradual decline.</t>
        </r>
      </text>
    </comment>
    <comment ref="L57" authorId="0" shapeId="0" xr:uid="{807B0AC6-B203-4860-9009-941BBE570201}">
      <text>
        <r>
          <rPr>
            <b/>
            <sz val="9"/>
            <color indexed="81"/>
            <rFont val="Tahoma"/>
            <family val="2"/>
          </rPr>
          <t>Matthew DiCarlo:</t>
        </r>
        <r>
          <rPr>
            <sz val="9"/>
            <color indexed="81"/>
            <rFont val="Tahoma"/>
            <family val="2"/>
          </rPr>
          <t xml:space="preserve">
In seeing that costs remain high, but slightly decrease, I am assuming a slight decrease in cash growth over the years until management prioritizes cutting costs in order to maximize cash on hand.</t>
        </r>
      </text>
    </comment>
    <comment ref="L58" authorId="0" shapeId="0" xr:uid="{5C4AE3A8-6253-44A3-A07A-27FF5E80349A}">
      <text>
        <r>
          <rPr>
            <b/>
            <sz val="9"/>
            <color indexed="81"/>
            <rFont val="Tahoma"/>
            <family val="2"/>
          </rPr>
          <t>Matthew DiCarlo:</t>
        </r>
        <r>
          <rPr>
            <sz val="9"/>
            <color indexed="81"/>
            <rFont val="Tahoma"/>
            <family val="2"/>
          </rPr>
          <t xml:space="preserve">
Per management notes,"A substantial portion of our investment assets are in fixed interest-yielding debt securities of varying maturities and commercial mortgage loans. The value of these investment assets can fluctuate significantly with changes in market conditions. In addition, an economic contraction could result in delay in payment of principal or interest by issuers, or defaults by issuers, reducing our investment income and requiring us to write down the value of our investments." In seeing this I am going to start at a modest .3% as 2026 has been off to a shaky start for investments</t>
        </r>
      </text>
    </comment>
    <comment ref="M58" authorId="0" shapeId="0" xr:uid="{875BC028-9C68-4BE1-957D-C7263E11D7EF}">
      <text>
        <r>
          <rPr>
            <b/>
            <sz val="9"/>
            <color indexed="81"/>
            <rFont val="Tahoma"/>
            <family val="2"/>
          </rPr>
          <t>Matthew DiCarlo:</t>
        </r>
        <r>
          <rPr>
            <sz val="9"/>
            <color indexed="81"/>
            <rFont val="Tahoma"/>
            <family val="2"/>
          </rPr>
          <t xml:space="preserve">
Considering investments pick back up, I am assuming a modest .05% increase.  With a majority in fixed yields, a major fluctuation does not seem reasonable hench the minimal increments</t>
        </r>
      </text>
    </comment>
    <comment ref="L59" authorId="3" shapeId="0" xr:uid="{35313E34-F092-4161-AC19-D74C0F92A85F}">
      <text>
        <r>
          <rPr>
            <sz val="11"/>
            <color theme="1"/>
            <rFont val="Aptos Narrow"/>
            <family val="2"/>
            <scheme val="minor"/>
          </rPr>
          <t>Karishma Shah:
The Cigna Group shows in its 10-K that receivables are generated from premiums, pharmacy services, and other healthcare transactions, especially through its Evernorth segment (The Cigna Group 42–44).
My thinking is that after a recent increase, the company may see some short-term improvement in collections due to operational adjustments. However, receivables remain elevated because of high healthcare costs and the scale of transactions, which continue to create large outstanding balances.</t>
        </r>
      </text>
    </comment>
    <comment ref="M59" authorId="3" shapeId="0" xr:uid="{505B4782-4FA3-412D-A65E-01E64F53C7AE}">
      <text>
        <r>
          <rPr>
            <sz val="11"/>
            <color theme="1"/>
            <rFont val="Aptos Narrow"/>
            <family val="2"/>
            <scheme val="minor"/>
          </rPr>
          <t>Karishma Shah:
Cigna continues to expand its pharmacy and service-based operations, which involve more complex billing and reimbursement processes than traditional insurance. This leads to slower payment cycles and higher receivables. Recent reporting also highlights ongoing pressure from healthcare costs and operational changes that affect payment timing (Yahoo Finance).
My view is that even if the company improves systems, the growing complexity of transactions pushes receivables higher.</t>
        </r>
      </text>
    </comment>
    <comment ref="N59" authorId="3" shapeId="0" xr:uid="{7E704252-8ACA-4115-9D79-3789F8B6C59A}">
      <text>
        <r>
          <rPr>
            <sz val="11"/>
            <color theme="1"/>
            <rFont val="Aptos Narrow"/>
            <family val="2"/>
            <scheme val="minor"/>
          </rPr>
          <t>Karishma Shah:
The 10-K shows that a large portion of Cigna’s business comes from high-volume service and pharmacy operations (The Cigna Group 42–44). These businesses involve multiple parties, such as employers, providers, and pharmacies, which increases the time it takes to collect payments.
As a result, even with better systems, the size and complexity of the business lead to a gradual increase in receivables.</t>
        </r>
      </text>
    </comment>
    <comment ref="L60" authorId="0" shapeId="0" xr:uid="{99FFB5AC-FB9A-4C0B-ACD4-87DE0918A933}">
      <text>
        <r>
          <rPr>
            <b/>
            <sz val="9"/>
            <color indexed="81"/>
            <rFont val="Tahoma"/>
            <family val="2"/>
          </rPr>
          <t>Matthew DiCarlo:</t>
        </r>
        <r>
          <rPr>
            <sz val="9"/>
            <color indexed="81"/>
            <rFont val="Tahoma"/>
            <family val="2"/>
          </rPr>
          <t xml:space="preserve">
Yearly percentages tend to stay within the 3-4% range. Assuming an increase in sales correlates with an increase in demand, a slight incerase in inventories does seem reasonable. I am going to assume a .2% increase each year.</t>
        </r>
      </text>
    </comment>
    <comment ref="L61" authorId="0" shapeId="0" xr:uid="{B12DF5F4-3B0F-4056-BAEE-95331B0CBAC0}">
      <text>
        <r>
          <rPr>
            <b/>
            <sz val="9"/>
            <color indexed="81"/>
            <rFont val="Tahoma"/>
            <family val="2"/>
          </rPr>
          <t>Matthew DiCarlo:</t>
        </r>
        <r>
          <rPr>
            <sz val="9"/>
            <color indexed="81"/>
            <rFont val="Tahoma"/>
            <family val="2"/>
          </rPr>
          <t xml:space="preserve">
With no management notes, I am going to try to stay between 1 and 1.15%. Assuming assets continue to rise, a 0.03% increase, which is minimal seems justifiable</t>
        </r>
      </text>
    </comment>
    <comment ref="L62" authorId="0" shapeId="0" xr:uid="{5D0C8DDD-D40F-4DA3-AF8F-FEEF1D34EB9D}">
      <text>
        <r>
          <rPr>
            <b/>
            <sz val="9"/>
            <color indexed="81"/>
            <rFont val="Tahoma"/>
            <family val="2"/>
          </rPr>
          <t>Matthew DiCarlo:</t>
        </r>
        <r>
          <rPr>
            <sz val="9"/>
            <color indexed="81"/>
            <rFont val="Tahoma"/>
            <family val="2"/>
          </rPr>
          <t xml:space="preserve">
Was 0 the previous year and in 2022. Seemed like a rare occurance, will porject out 1% flat over the next few years</t>
        </r>
      </text>
    </comment>
    <comment ref="L63" authorId="1" shapeId="0" xr:uid="{B52AE98E-C825-2A48-8D03-001F6CBA8CC2}">
      <text>
        <r>
          <rPr>
            <b/>
            <sz val="10"/>
            <color rgb="FF000000"/>
            <rFont val="Tahoma"/>
            <family val="2"/>
          </rPr>
          <t>Ninaad Hadge:</t>
        </r>
        <r>
          <rPr>
            <sz val="10"/>
            <color rgb="FF000000"/>
            <rFont val="Tahoma"/>
            <family val="2"/>
          </rPr>
          <t xml:space="preserve">
</t>
        </r>
        <r>
          <rPr>
            <sz val="10"/>
            <color rgb="FF000000"/>
            <rFont val="Tahoma"/>
            <family val="2"/>
          </rPr>
          <t xml:space="preserve">Cigna participates in a joint venture in China with a 50% ownership interest. With the interest rate, and other impllementation of investments, we project a slight upside based off 2025
</t>
        </r>
      </text>
    </comment>
    <comment ref="L64" authorId="0" shapeId="0" xr:uid="{4C4CC25B-8D43-44B9-96D0-0CEF4209F7F0}">
      <text>
        <r>
          <rPr>
            <b/>
            <sz val="9"/>
            <color indexed="81"/>
            <rFont val="Tahoma"/>
            <family val="2"/>
          </rPr>
          <t>Matthew DiCarlo:</t>
        </r>
        <r>
          <rPr>
            <sz val="9"/>
            <color indexed="81"/>
            <rFont val="Tahoma"/>
            <family val="2"/>
          </rPr>
          <t xml:space="preserve">
There are no current management notes stating plans with this. I am going to assume a moderate increase starting at 1.5%</t>
        </r>
      </text>
    </comment>
    <comment ref="L67" authorId="0" shapeId="0" xr:uid="{14CB0858-96C0-4618-8073-C8B6E9C3A7DC}">
      <text>
        <r>
          <rPr>
            <b/>
            <sz val="9"/>
            <color indexed="81"/>
            <rFont val="Tahoma"/>
            <family val="2"/>
          </rPr>
          <t>Matthew DiCarlo:</t>
        </r>
        <r>
          <rPr>
            <sz val="9"/>
            <color indexed="81"/>
            <rFont val="Tahoma"/>
            <family val="2"/>
          </rPr>
          <t xml:space="preserve">
may be materially and adversely impacted if acquired businesses do not perform as expected. However do believe that Evernorth will conitinue to progress, hence the .25% increase over the next 5 years</t>
        </r>
      </text>
    </comment>
    <comment ref="L68" authorId="1" shapeId="0" xr:uid="{53494D26-4035-AF44-88E6-6AD9798ECCE4}">
      <text>
        <r>
          <rPr>
            <b/>
            <sz val="10"/>
            <color rgb="FF000000"/>
            <rFont val="Tahoma"/>
            <family val="2"/>
          </rPr>
          <t>Ninaad Hadge:</t>
        </r>
        <r>
          <rPr>
            <sz val="10"/>
            <color rgb="FF000000"/>
            <rFont val="Tahoma"/>
            <family val="2"/>
          </rPr>
          <t xml:space="preserve">
</t>
        </r>
        <r>
          <rPr>
            <sz val="10"/>
            <color rgb="FF000000"/>
            <rFont val="Tahoma"/>
            <family val="2"/>
          </rPr>
          <t xml:space="preserve">Based on their Express Scripts aquisition from 2018, they have been historically declining at a strady rate
</t>
        </r>
      </text>
    </comment>
    <comment ref="L69" authorId="0" shapeId="0" xr:uid="{EB354FB7-C6F0-4F1D-9C3A-6D28EFD730F2}">
      <text>
        <r>
          <rPr>
            <b/>
            <sz val="9"/>
            <color indexed="81"/>
            <rFont val="Tahoma"/>
            <family val="2"/>
          </rPr>
          <t>Matthew DiCarlo:</t>
        </r>
        <r>
          <rPr>
            <sz val="9"/>
            <color indexed="81"/>
            <rFont val="Tahoma"/>
            <family val="2"/>
          </rPr>
          <t xml:space="preserve">
Separate account assets classified in Level 1 primarily include exchange-listed equity securities. Level 2 assets primarily include corporate and structured bonds valued using recent trades of similar securities or pricing models that discount future cash flows at estimated market interest rates, as described above, and actively traded institutional and retail mutual fund investments.
Separate account assets classified in Level 3 primarily support the Company's pension plans and include certain newly issued, privately placed, complex or illiquid securities that are priced using methods discussed above, as well as commercial mortgage loans. I believe that an incremental increase starting at 2.5% seems reasonanble as investments also slightly increase</t>
        </r>
      </text>
    </comment>
    <comment ref="L70" authorId="0" shapeId="0" xr:uid="{2D8AB0D3-F31C-405E-A75F-147D223F1447}">
      <text>
        <r>
          <rPr>
            <b/>
            <sz val="9"/>
            <color indexed="81"/>
            <rFont val="Tahoma"/>
            <family val="2"/>
          </rPr>
          <t>Matthew DiCarlo:</t>
        </r>
        <r>
          <rPr>
            <sz val="9"/>
            <color indexed="81"/>
            <rFont val="Tahoma"/>
            <family val="2"/>
          </rPr>
          <t xml:space="preserve">
Seemed like a one time occurance. Will project 0 across all years
</t>
        </r>
      </text>
    </comment>
    <comment ref="L73" authorId="3" shapeId="0" xr:uid="{24DC6B73-F605-42A5-9F41-EBC0A5FBDDF9}">
      <text>
        <r>
          <rPr>
            <sz val="11"/>
            <color theme="1"/>
            <rFont val="Aptos Narrow"/>
            <family val="2"/>
            <scheme val="minor"/>
          </rPr>
          <t>Karishma Shah:
In 2026, I project growth of 2.05%, slightly below the most recent value of 2.08%. The change is:
2.08% to 2.05% = -0.03%
From the peak of 3.05% to 2.08%, the total drop is:
3.05% − 2.08% = 0.97%
This shows most of the decrease has already happened, so I only make a small change. The Cigna Group explains in its 10-K that these liabilities are mainly unpaid claims and reserves (10-K, p. 88–90). These go up and down based on how many claims come in and when they are paid, not because of separate growth drivers. Since those factors are stable, I keep the change small.</t>
        </r>
      </text>
    </comment>
    <comment ref="M73" authorId="3" shapeId="0" xr:uid="{2999814F-2305-4538-82EA-D80BFFB292B6}">
      <text>
        <r>
          <rPr>
            <sz val="11"/>
            <color theme="1"/>
            <rFont val="Aptos Narrow"/>
            <family val="2"/>
            <scheme val="minor"/>
          </rPr>
          <t>Karishma Shah:
The 10-K says medical costs are affected by utilization, provider pricing, and specialty drugs (p. 18, p. 45). These costs affect how large the claims are, which affects this liability. Since these costs keep rising but not in a dramatic way, I continue a slow and steady decrease instead of a big drop.</t>
        </r>
      </text>
    </comment>
    <comment ref="L75" authorId="0" shapeId="0" xr:uid="{D8272066-00BD-48D8-ABCF-4C252B7FE0B0}">
      <text>
        <r>
          <rPr>
            <b/>
            <sz val="9"/>
            <color indexed="81"/>
            <rFont val="Tahoma"/>
            <family val="2"/>
          </rPr>
          <t>Matthew DiCarlo:</t>
        </r>
        <r>
          <rPr>
            <sz val="9"/>
            <color indexed="81"/>
            <rFont val="Tahoma"/>
            <family val="2"/>
          </rPr>
          <t xml:space="preserve">
With yearly percentages staying relative to 4% I feel it is reasonable to assume that there is a slight increase from 4% which also reflfects the slight increase in invetories.</t>
        </r>
      </text>
    </comment>
    <comment ref="L76" authorId="3" shapeId="0" xr:uid="{95C09243-E665-460F-A3D7-856527B0724A}">
      <text>
        <r>
          <rPr>
            <sz val="11"/>
            <color theme="1"/>
            <rFont val="Aptos Narrow"/>
            <family val="2"/>
            <scheme val="minor"/>
          </rPr>
          <t>Karishma Shah:
Over the past few years, this line dropped from 5.10% to 3.29%, which shows Cigna has already improved how it manages expenses and payments. Accrued expenses mainly come from unpaid costs like medical expenses, vendor payments, and operating obligations. The Cigna Group shows in its 10-K that these are tied to normal business operations and timing of payments (10-K, p. 90–92). My view is that those improvements continue slightly, but not at the same pace since the biggest gains have already happened.</t>
        </r>
      </text>
    </comment>
    <comment ref="M76" authorId="3" shapeId="0" xr:uid="{7EB21D96-C519-4C48-9524-21B820CEE0FC}">
      <text>
        <r>
          <rPr>
            <sz val="11"/>
            <color theme="1"/>
            <rFont val="Aptos Narrow"/>
            <family val="2"/>
            <scheme val="minor"/>
          </rPr>
          <t>Karishma Shah:
Cigna’s growth has shifted more toward service-based businesses like Evernorth and pharmacy networks, which handle large volumes of transactions. Even though these businesses are scalable, they also create a steady flow of expenses that need to be processed and paid. In real life, as a company gets bigger, it doesn’t eliminate unpaid expenses it just manages them better. So I assume the line continues to decline slightly, but stays close to a steady level.</t>
        </r>
      </text>
    </comment>
    <comment ref="L77" authorId="3" shapeId="0" xr:uid="{9080420F-C416-4811-ABCF-F5B58B5A21A5}">
      <text>
        <r>
          <rPr>
            <sz val="11"/>
            <color theme="1"/>
            <rFont val="Aptos Narrow"/>
            <family val="2"/>
            <scheme val="minor"/>
          </rPr>
          <t>Karishma Shah:
In 2026, I project 0.00% because this line is not a recurring part of the business. It only shows up when the company is actively planning to sell a portion of its operations. Looking at the historical pattern, the balance moves from 3.69% to 0.00%, then briefly reappears before going back to 0.00%, which shows it is event-driven rather than part of normal operations. The Cigna Group uses this category in its filings when assets and liabilities are classified as “held for sale,” meaning a transaction is already planned (10-K, held-for-sale discussion). Since there is no current indication that Cigna is preparing another major divestiture, I assume it remains at zero.</t>
        </r>
      </text>
    </comment>
    <comment ref="L78" authorId="3" shapeId="0" xr:uid="{757E5930-72CE-48F7-BC8C-378119D30B16}">
      <text>
        <r>
          <rPr>
            <sz val="11"/>
            <color theme="1"/>
            <rFont val="Aptos Narrow"/>
            <family val="2"/>
            <scheme val="minor"/>
          </rPr>
          <t>Karishma Shah:
The Cigna Group explains in its 10-K that insurance liabilities are driven by claims and contractholder obligations, while also emphasizing that growth is coming from services and pharmacy platforms like Evernorth rather than traditional long-duration insurance (10-K, p. 42–44).
My thinking is that as Cigna continues focusing on services, fewer obligations sit in the long-term area. However, since the company still operates insurance businesses, I only bring it down slightly instead of assuming a sharp drop.</t>
        </r>
      </text>
    </comment>
    <comment ref="M78" authorId="3" shapeId="0" xr:uid="{9824DB94-CA00-4D1A-BF32-1A77DFD8EF5A}">
      <text>
        <r>
          <rPr>
            <sz val="11"/>
            <color theme="1"/>
            <rFont val="Aptos Narrow"/>
            <family val="2"/>
            <scheme val="minor"/>
          </rPr>
          <t>Karishma Shah:
igna’s strategy is to grow through integrated healthcare services, pharmacy benefits, and care delivery rather than expanding long-term insurance risk. That means more of the company’s obligations are short-term and operational rather than long-term. As a result, I expect this line to keep declining, but more gradually since most of the business shift has already happened.</t>
        </r>
      </text>
    </comment>
    <comment ref="L79" authorId="3" shapeId="0" xr:uid="{AF498B2D-256B-4AE9-BA4F-AC56E025EF05}">
      <text>
        <r>
          <rPr>
            <sz val="11"/>
            <color theme="1"/>
            <rFont val="Aptos Narrow"/>
            <family val="2"/>
            <scheme val="minor"/>
          </rPr>
          <t xml:space="preserve">Karishma Shah:
Deferred tax liabilities mainly come from timing differences, which are outlined in the Income Taxes note in The Cigna Group 10-K, where the company breaks down deferred tax drivers like depreciation, amortization, and other temporary differences (10-K, Income Taxes note, ~p. 80–100).
My thinking is that earlier declines were driven by large timing differences from past activity, especially amortization of intangible assets. </t>
        </r>
      </text>
    </comment>
    <comment ref="M79" authorId="3" shapeId="0" xr:uid="{5308925C-DC60-4333-AD98-F1B675BD854D}">
      <text>
        <r>
          <rPr>
            <sz val="11"/>
            <color theme="1"/>
            <rFont val="Aptos Narrow"/>
            <family val="2"/>
            <scheme val="minor"/>
          </rPr>
          <t>Karishma Shah:
Looking at the Income Taxes note, a large portion of deferred taxes comes from intangible-related differences. This ties back to Cigna’s past acquisitions, like Express Scripts, which created significant intangible assets that are amortized over time. As those balances continue to be amortized, the related deferred tax liabilities decrease. Since most of that impact has already started to unwind, I only model a small step-down.</t>
        </r>
      </text>
    </comment>
    <comment ref="N79" authorId="3" shapeId="0" xr:uid="{64B1A7CF-DF60-4C06-9BDA-DF22E9515FAA}">
      <text>
        <r>
          <rPr>
            <sz val="11"/>
            <color theme="1"/>
            <rFont val="Aptos Narrow"/>
            <family val="2"/>
            <scheme val="minor"/>
          </rPr>
          <t>Karishma Shah:
The 10-K shows that deferred tax liabilities are driven by ongoing differences between book and tax treatment rather than new one-time events (Income Taxes note, ~p. 80–100). At the same time, Cigna’s strategy is more focused on services, pharmacy platforms, and internal growth rather than large-scale acquisitions. My view is that without new major transactions creating fresh timing differences, this line continues to decline gradually.</t>
        </r>
      </text>
    </comment>
    <comment ref="L80" authorId="3" shapeId="0" xr:uid="{C3C51B7C-380E-4AC5-990D-8D75E96A9292}">
      <text>
        <r>
          <rPr>
            <sz val="11"/>
            <color theme="1"/>
            <rFont val="Aptos Narrow"/>
            <family val="2"/>
            <scheme val="minor"/>
          </rPr>
          <t>Karishma Shah:
In The Cigna Group 10-K, this line includes long-term items such as deferred compensation, long-term benefit obligations, and other accrued liabilities that are not part of insurance or debt (10-K, ~p. 90–92, liabilities section).
These are not tied to revenue growth directly they come from internal obligations like employee benefits or long-term agreements. Since those don’t change dramatically year to year, I keep the projection close to recent levels instead of assuming a strong trend.</t>
        </r>
      </text>
    </comment>
    <comment ref="L81" authorId="3" shapeId="0" xr:uid="{6533A482-92AD-468F-8DA1-A155D05E75E9}">
      <text>
        <r>
          <rPr>
            <sz val="11"/>
            <color theme="1"/>
            <rFont val="Aptos Narrow"/>
            <family val="2"/>
            <scheme val="minor"/>
          </rPr>
          <t>Karishma Shah:
This line has declined steadily from 4.79%, which shows that separate account balances are becoming a smaller part of the business. The Cigna Group explains in its 10-K that separate account liabilities are tied to investment-type products where the policyholder assumes the investment risk, not the company (10-K, p. 97–98).
My thinking is that as Cigna shifts more toward services and pharmacy platforms, these products become less important, so I continue the decline slightly.</t>
        </r>
      </text>
    </comment>
    <comment ref="M81" authorId="3" shapeId="0" xr:uid="{CB0800D7-D738-40DC-A697-2E8287196C49}">
      <text>
        <r>
          <rPr>
            <sz val="11"/>
            <color theme="1"/>
            <rFont val="Aptos Narrow"/>
            <family val="2"/>
            <scheme val="minor"/>
          </rPr>
          <t>Karishma Shah:
eparate account balances are not driven by healthcare demand, but by investment products and policyholder behavior. The 10-K shows that these accounts are held on behalf of customers and move with those products rather than core operations (p. 97–98). Since Cigna is not focusing on this area for growth, I assume it continues to decline.</t>
        </r>
      </text>
    </comment>
    <comment ref="L82" authorId="0" shapeId="0" xr:uid="{76C7DC51-D2E5-49EA-BC64-87BD04361D59}">
      <text>
        <r>
          <rPr>
            <b/>
            <sz val="9"/>
            <color indexed="81"/>
            <rFont val="Tahoma"/>
            <family val="2"/>
          </rPr>
          <t>Matthew DiCarlo:</t>
        </r>
        <r>
          <rPr>
            <sz val="9"/>
            <color indexed="81"/>
            <rFont val="Tahoma"/>
            <family val="2"/>
          </rPr>
          <t xml:space="preserve">
Seemed like once time occurance. Will project out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Matthew DiCarlo</author>
  </authors>
  <commentList>
    <comment ref="E8" authorId="0" shapeId="0" xr:uid="{2160AD5E-BF1A-42C1-BC6E-A5DF29D101BA}">
      <text>
        <r>
          <rPr>
            <b/>
            <sz val="9"/>
            <color indexed="81"/>
            <rFont val="Tahoma"/>
            <family val="2"/>
          </rPr>
          <t>Matthew DiCarlo:</t>
        </r>
        <r>
          <rPr>
            <sz val="9"/>
            <color indexed="81"/>
            <rFont val="Tahoma"/>
            <family val="2"/>
          </rPr>
          <t xml:space="preserve">
Only year that effects the Ending Balance so that is why it is taken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Ninaad Hadge</author>
  </authors>
  <commentList>
    <comment ref="E34" authorId="0" shapeId="0" xr:uid="{8826B1AB-661D-E04D-B4E6-3998B2FE7EDA}">
      <text>
        <r>
          <rPr>
            <b/>
            <sz val="10"/>
            <color rgb="FF000000"/>
            <rFont val="Tahoma"/>
            <family val="2"/>
          </rPr>
          <t>Ninaad Hadge:</t>
        </r>
        <r>
          <rPr>
            <sz val="10"/>
            <color rgb="FF000000"/>
            <rFont val="Tahoma"/>
            <family val="2"/>
          </rPr>
          <t xml:space="preserve">
</t>
        </r>
        <r>
          <rPr>
            <sz val="10"/>
            <color rgb="FF000000"/>
            <rFont val="Tahoma"/>
            <family val="2"/>
          </rPr>
          <t xml:space="preserve">CI 10K PG 68
</t>
        </r>
      </text>
    </comment>
    <comment ref="E42" authorId="0" shapeId="0" xr:uid="{52364309-2ADC-7B49-BF41-A77F255D9408}">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50" authorId="0" shapeId="0" xr:uid="{94D61A7E-3ADE-AC44-8419-88C8CB40FC3C}">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58" authorId="0" shapeId="0" xr:uid="{468F7987-EA37-1E44-BCEC-44A08744F4B5}">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66" authorId="0" shapeId="0" xr:uid="{72ECB1DC-030F-BF42-AD83-D3EB0328B286}">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74" authorId="0" shapeId="0" xr:uid="{586A695A-ABA0-AD44-A2AB-05E837DF705F}">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82" authorId="0" shapeId="0" xr:uid="{DA93DD08-5C38-0A46-89B6-F2C7469C85EC}">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90" authorId="0" shapeId="0" xr:uid="{242CC124-7414-1D46-8FC2-83CDB3FF14CA}">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98" authorId="0" shapeId="0" xr:uid="{FB72AA9D-A979-A840-9C43-67308F7C7607}">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06" authorId="0" shapeId="0" xr:uid="{7ADAD3CE-5AFC-E744-8983-0C111479CB6C}">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14" authorId="0" shapeId="0" xr:uid="{0E0A27FC-804B-D34A-83EA-CDD13C236BB0}">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22" authorId="0" shapeId="0" xr:uid="{ECE204B0-E271-F944-AF3E-00402C08DA8A}">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30" authorId="0" shapeId="0" xr:uid="{E2A28105-D207-B24B-A9EB-B4C5A793E34B}">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38" authorId="0" shapeId="0" xr:uid="{3DDAE0D3-65C6-D741-BA93-D140E3EBD709}">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46" authorId="0" shapeId="0" xr:uid="{1D775CF2-06C2-2E4A-954C-A12DCFF92C02}">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54" authorId="0" shapeId="0" xr:uid="{BD0A9175-DD3F-EB4D-BFFF-E4FEAD62B575}">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62" authorId="0" shapeId="0" xr:uid="{B24AD48B-66BA-6644-ABE7-6B70EAB08B40}">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70" authorId="0" shapeId="0" xr:uid="{A4BAC802-FD51-4B48-9C0B-79D08308EF19}">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78" authorId="0" shapeId="0" xr:uid="{C60B5359-B78E-4A48-B562-2D4308D2F75F}">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86" authorId="0" shapeId="0" xr:uid="{B17CD1F4-02BC-F74C-A076-50292A36B043}">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194" authorId="0" shapeId="0" xr:uid="{D3418E66-2FF6-4B4E-9ED6-21E671670255}">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02" authorId="0" shapeId="0" xr:uid="{DC5433E8-22BD-6545-9ACE-ABF2003D9E7B}">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10" authorId="0" shapeId="0" xr:uid="{85AFE08A-09AC-B648-B0E2-A7D24150B559}">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18" authorId="0" shapeId="0" xr:uid="{549EC062-E1B8-9147-BBBA-7B26103DCDB7}">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26" authorId="0" shapeId="0" xr:uid="{0608C962-F947-7E41-A71D-99834543C502}">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34" authorId="0" shapeId="0" xr:uid="{C590E4BB-1774-B24B-A255-4CEB4EC27939}">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42" authorId="0" shapeId="0" xr:uid="{D91D1F6D-A228-A641-9749-23F8578C7F82}">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50" authorId="0" shapeId="0" xr:uid="{2BBDC291-8327-4C84-96FA-EF2A16792768}">
      <text>
        <r>
          <rPr>
            <b/>
            <sz val="10"/>
            <color rgb="FF000000"/>
            <rFont val="Tahoma"/>
            <family val="2"/>
          </rPr>
          <t>Ninaad Hadge:</t>
        </r>
        <r>
          <rPr>
            <sz val="10"/>
            <color rgb="FF000000"/>
            <rFont val="Tahoma"/>
            <family val="2"/>
          </rPr>
          <t xml:space="preserve">
</t>
        </r>
        <r>
          <rPr>
            <sz val="10"/>
            <color rgb="FF000000"/>
            <rFont val="Tahoma"/>
            <family val="2"/>
          </rPr>
          <t xml:space="preserve">CI 10K pg.68
</t>
        </r>
      </text>
    </comment>
    <comment ref="E256" authorId="0" shapeId="0" xr:uid="{A4796F41-8D63-B54A-A56F-920FCEB77032}">
      <text>
        <r>
          <rPr>
            <b/>
            <sz val="10"/>
            <color rgb="FF000000"/>
            <rFont val="Tahoma"/>
            <family val="2"/>
          </rPr>
          <t>Ninaad Hadge:</t>
        </r>
        <r>
          <rPr>
            <sz val="10"/>
            <color rgb="FF000000"/>
            <rFont val="Tahoma"/>
            <family val="2"/>
          </rPr>
          <t xml:space="preserve">
</t>
        </r>
        <r>
          <rPr>
            <sz val="10"/>
            <color rgb="FF000000"/>
            <rFont val="Tahoma"/>
            <family val="2"/>
          </rPr>
          <t xml:space="preserve">Damodaran website: credit rating B3/B- correlate with 5.09% spread
</t>
        </r>
      </text>
    </comment>
    <comment ref="E274" authorId="0" shapeId="0" xr:uid="{87B5341D-9652-674F-B960-13401DF22DBA}">
      <text>
        <r>
          <rPr>
            <b/>
            <sz val="10"/>
            <color rgb="FF000000"/>
            <rFont val="Tahoma"/>
            <family val="2"/>
          </rPr>
          <t>Ninaad Hadge:</t>
        </r>
        <r>
          <rPr>
            <sz val="10"/>
            <color rgb="FF000000"/>
            <rFont val="Tahoma"/>
            <family val="2"/>
          </rPr>
          <t xml:space="preserve">
</t>
        </r>
        <r>
          <rPr>
            <sz val="10"/>
            <color rgb="FF000000"/>
            <rFont val="Tahoma"/>
            <family val="2"/>
          </rPr>
          <t xml:space="preserve">Source: </t>
        </r>
        <r>
          <rPr>
            <sz val="10"/>
            <color rgb="FF000000"/>
            <rFont val="Aptos Narrow"/>
            <family val="2"/>
            <scheme val="minor"/>
          </rPr>
          <t>https://www.bankrate.com/banking/savings/best-high-yield-interests-savings-accounts</t>
        </r>
        <r>
          <rPr>
            <sz val="10"/>
            <color rgb="FF000000"/>
            <rFont val="Aptos Narrow"/>
            <family val="2"/>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Matthew DiCarlo</author>
    <author>Karishma Shah</author>
  </authors>
  <commentList>
    <comment ref="C7" authorId="0" shapeId="0" xr:uid="{B8D0CF41-4FC6-488E-B925-13D09E965F7E}">
      <text>
        <r>
          <rPr>
            <b/>
            <sz val="9"/>
            <color indexed="81"/>
            <rFont val="Tahoma"/>
            <family val="2"/>
          </rPr>
          <t>Matthew DiCarlo:</t>
        </r>
        <r>
          <rPr>
            <sz val="9"/>
            <color indexed="81"/>
            <rFont val="Tahoma"/>
            <family val="2"/>
          </rPr>
          <t xml:space="preserve">
10k pg37</t>
        </r>
      </text>
    </comment>
    <comment ref="C8" authorId="0" shapeId="0" xr:uid="{38D62FC3-6ED8-4999-BBC0-AEEB922861F2}">
      <text>
        <r>
          <rPr>
            <b/>
            <sz val="9"/>
            <color indexed="81"/>
            <rFont val="Tahoma"/>
            <family val="2"/>
          </rPr>
          <t>Matthew DiCarlo:</t>
        </r>
        <r>
          <rPr>
            <sz val="9"/>
            <color indexed="81"/>
            <rFont val="Tahoma"/>
            <family val="2"/>
          </rPr>
          <t xml:space="preserve">
10k pg 39</t>
        </r>
      </text>
    </comment>
    <comment ref="C9" authorId="0" shapeId="0" xr:uid="{8EF4A4DE-4070-4FFE-B9F5-BEF7AC86CED1}">
      <text>
        <r>
          <rPr>
            <b/>
            <sz val="9"/>
            <color indexed="81"/>
            <rFont val="Tahoma"/>
            <family val="2"/>
          </rPr>
          <t>Matthew DiCarlo:</t>
        </r>
        <r>
          <rPr>
            <sz val="9"/>
            <color indexed="81"/>
            <rFont val="Tahoma"/>
            <family val="2"/>
          </rPr>
          <t xml:space="preserve">
10k pg 59</t>
        </r>
      </text>
    </comment>
    <comment ref="C12" authorId="0" shapeId="0" xr:uid="{B6F28D28-D44F-4A53-8C59-27DFB359978B}">
      <text>
        <r>
          <rPr>
            <b/>
            <sz val="9"/>
            <color indexed="81"/>
            <rFont val="Tahoma"/>
            <family val="2"/>
          </rPr>
          <t>Matthew DiCarlo:</t>
        </r>
        <r>
          <rPr>
            <sz val="9"/>
            <color indexed="81"/>
            <rFont val="Tahoma"/>
            <family val="2"/>
          </rPr>
          <t xml:space="preserve">
10k pg 37</t>
        </r>
      </text>
    </comment>
    <comment ref="C13" authorId="0" shapeId="0" xr:uid="{7696277F-26D9-431E-B9AD-F3EA67014758}">
      <text>
        <r>
          <rPr>
            <b/>
            <sz val="9"/>
            <color indexed="81"/>
            <rFont val="Tahoma"/>
            <family val="2"/>
          </rPr>
          <t>Matthew DiCarlo:</t>
        </r>
        <r>
          <rPr>
            <sz val="9"/>
            <color indexed="81"/>
            <rFont val="Tahoma"/>
            <family val="2"/>
          </rPr>
          <t xml:space="preserve">
10k pg 46</t>
        </r>
      </text>
    </comment>
    <comment ref="L22" authorId="1" shapeId="0" xr:uid="{14E2784C-6F29-497F-898F-E0EA8B0AEFD4}">
      <text>
        <r>
          <rPr>
            <sz val="11"/>
            <color theme="1"/>
            <rFont val="Aptos Narrow"/>
            <family val="2"/>
            <scheme val="minor"/>
          </rPr>
          <t>Karishma Shah:
ELV, Most Recent 10k, Year Ended 2025,Consolidated Statements of Operations</t>
        </r>
      </text>
    </comment>
    <comment ref="L24" authorId="1" shapeId="0" xr:uid="{7B233573-1B5C-4548-A968-DD14C7CD2536}">
      <text>
        <r>
          <rPr>
            <sz val="11"/>
            <color theme="1"/>
            <rFont val="Aptos Narrow"/>
            <family val="2"/>
            <scheme val="minor"/>
          </rPr>
          <t>Karishma Shah:
CVS, Most Recent 10k, Year Ended 2025,Consolidated Statements of Operations</t>
        </r>
      </text>
    </comment>
    <comment ref="M31" authorId="0" shapeId="0" xr:uid="{6458C3AC-BA0A-482A-8352-E621664978E6}">
      <text>
        <r>
          <rPr>
            <b/>
            <sz val="9"/>
            <color indexed="81"/>
            <rFont val="Tahoma"/>
            <family val="2"/>
          </rPr>
          <t>Matthew DiCarlo:</t>
        </r>
        <r>
          <rPr>
            <sz val="9"/>
            <color indexed="81"/>
            <rFont val="Tahoma"/>
            <family val="2"/>
          </rPr>
          <t xml:space="preserve">
57 pg on 10k</t>
        </r>
      </text>
    </comment>
    <comment ref="L34" authorId="1" shapeId="0" xr:uid="{25B7A875-1052-40EA-893E-232491E52C81}">
      <text>
        <r>
          <rPr>
            <sz val="11"/>
            <color theme="1"/>
            <rFont val="Aptos Narrow"/>
            <family val="2"/>
            <scheme val="minor"/>
          </rPr>
          <t>Karishma Shah:
CVS, Most Recent 10k, Year Ended 2025,Consolidated Balance Sheets</t>
        </r>
      </text>
    </comment>
    <comment ref="M34" authorId="1" shapeId="0" xr:uid="{B3A9D8EE-7507-4FD0-A95A-9C894809C16E}">
      <text>
        <r>
          <rPr>
            <sz val="11"/>
            <color theme="1"/>
            <rFont val="Aptos Narrow"/>
            <family val="2"/>
            <scheme val="minor"/>
          </rPr>
          <t>Karishma Shah:
CVS, Most Recent 10k, Year Ended 2025,Consolidated Balance Sheets</t>
        </r>
      </text>
    </comment>
    <comment ref="O34" authorId="1" shapeId="0" xr:uid="{F6947688-EF9C-43DF-A397-08DA3F8CC1BF}">
      <text>
        <r>
          <rPr>
            <sz val="11"/>
            <color theme="1"/>
            <rFont val="Aptos Narrow"/>
            <family val="2"/>
            <scheme val="minor"/>
          </rPr>
          <t>Karishma Shah:
CVS, Most Recent 10k, Year Ended 2025,Consolidated Balance Sheets</t>
        </r>
      </text>
    </comment>
    <comment ref="L36" authorId="1" shapeId="0" xr:uid="{30CAE01B-9148-4211-B1D7-DA1F24633561}">
      <text>
        <r>
          <rPr>
            <sz val="11"/>
            <color theme="1"/>
            <rFont val="Aptos Narrow"/>
            <family val="2"/>
            <scheme val="minor"/>
          </rPr>
          <t>Karishma Shah:
CVS, Most Recent 10k, Year Ended 2025,Consolidated Balance Sheets</t>
        </r>
      </text>
    </comment>
    <comment ref="M36" authorId="1" shapeId="0" xr:uid="{3A940F4F-0385-4F56-9F0F-A3DC6F3BAFC9}">
      <text>
        <r>
          <rPr>
            <sz val="11"/>
            <color theme="1"/>
            <rFont val="Aptos Narrow"/>
            <family val="2"/>
            <scheme val="minor"/>
          </rPr>
          <t>Karishma Shah:
CVS, Most Recent 10k, Year Ended 2025,Consolidated Balance Sheets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C5" authorId="0" shapeId="0" xr:uid="{5DE2B56A-F25A-4284-9A6E-C9E7CAA9CA99}">
      <text>
        <r>
          <rPr>
            <b/>
            <sz val="9"/>
            <color indexed="81"/>
            <rFont val="Tahoma"/>
            <family val="2"/>
          </rPr>
          <t xml:space="preserve">Nick Wan:
</t>
        </r>
        <r>
          <rPr>
            <sz val="9"/>
            <color indexed="81"/>
            <rFont val="Tahoma"/>
            <family val="2"/>
          </rPr>
          <t>RFR + Coverage Ratio Spread (CI is a BBB+ rating)</t>
        </r>
      </text>
    </comment>
    <comment ref="J5" authorId="0" shapeId="0" xr:uid="{862A6415-9B89-4E07-B8CD-3F453E9F78E7}">
      <text>
        <r>
          <rPr>
            <b/>
            <sz val="9"/>
            <color indexed="81"/>
            <rFont val="Tahoma"/>
            <family val="2"/>
          </rPr>
          <t xml:space="preserve">Nick Wan:
</t>
        </r>
        <r>
          <rPr>
            <sz val="9"/>
            <color indexed="81"/>
            <rFont val="Tahoma"/>
            <family val="2"/>
          </rPr>
          <t>10 yr Treasury Yield as of 04/14/2026 10:53am</t>
        </r>
      </text>
    </comment>
    <comment ref="K5" authorId="0" shapeId="0" xr:uid="{4D96595D-7FC5-477A-B9FA-8B0B835FCA0D}">
      <text>
        <r>
          <rPr>
            <b/>
            <sz val="9"/>
            <color indexed="81"/>
            <rFont val="Tahoma"/>
            <family val="2"/>
          </rPr>
          <t xml:space="preserve">Nick Wan:
</t>
        </r>
        <r>
          <rPr>
            <sz val="9"/>
            <color indexed="81"/>
            <rFont val="Tahoma"/>
            <family val="2"/>
          </rPr>
          <t xml:space="preserve">Yahoo Finance, CI "Beta 5Y monthly" 04/14/26
</t>
        </r>
      </text>
    </comment>
    <comment ref="L5" authorId="0" shapeId="0" xr:uid="{44A2CFF1-1AC6-46AC-B3E5-E8F866C074A9}">
      <text>
        <r>
          <rPr>
            <b/>
            <sz val="9"/>
            <color indexed="81"/>
            <rFont val="Tahoma"/>
            <family val="2"/>
          </rPr>
          <t xml:space="preserve">Nick Wan:
</t>
        </r>
        <r>
          <rPr>
            <sz val="9"/>
            <color indexed="81"/>
            <rFont val="Tahoma"/>
            <family val="2"/>
          </rPr>
          <t xml:space="preserve">US ERP from Damodaran
</t>
        </r>
      </text>
    </comment>
    <comment ref="M5" authorId="0" shapeId="0" xr:uid="{9608957E-6A2C-4CE1-8DCE-E921D2038BC6}">
      <text>
        <r>
          <rPr>
            <b/>
            <sz val="9"/>
            <color indexed="81"/>
            <rFont val="Tahoma"/>
            <family val="2"/>
          </rPr>
          <t xml:space="preserve">Nick Wan:
</t>
        </r>
        <r>
          <rPr>
            <sz val="9"/>
            <color indexed="81"/>
            <rFont val="Tahoma"/>
            <family val="2"/>
          </rPr>
          <t>U.S. Bureau of Economic Analysis Real GDP growth rate from 2025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<sst xmlns="http://schemas.openxmlformats.org/spreadsheetml/2006/main" count="941" uniqueCount="480">
  <si>
    <t>Cover Page</t>
  </si>
  <si>
    <t>Page</t>
  </si>
  <si>
    <t>Assumptions</t>
  </si>
  <si>
    <t>Calcs</t>
  </si>
  <si>
    <t>Income Statement</t>
  </si>
  <si>
    <t>Balance Sheet</t>
  </si>
  <si>
    <t>Cash Flow Statement</t>
  </si>
  <si>
    <t>Debt Schedule</t>
  </si>
  <si>
    <t>LTM</t>
  </si>
  <si>
    <t>Comps</t>
  </si>
  <si>
    <t>WACC</t>
  </si>
  <si>
    <t>DCF</t>
  </si>
  <si>
    <t>Historical</t>
  </si>
  <si>
    <t>Average %</t>
  </si>
  <si>
    <t>Projected</t>
  </si>
  <si>
    <t xml:space="preserve">                       Projected</t>
  </si>
  <si>
    <t>3YR AVG</t>
  </si>
  <si>
    <t>5YR AVG</t>
  </si>
  <si>
    <t>Base</t>
  </si>
  <si>
    <t>Bull</t>
  </si>
  <si>
    <t>Bear</t>
  </si>
  <si>
    <t>x</t>
  </si>
  <si>
    <t>Products ( Pharmacy Revenues) (ASC 606)</t>
  </si>
  <si>
    <t>Network Revenues</t>
  </si>
  <si>
    <t>Home Delivery and Specialty</t>
  </si>
  <si>
    <t>Other Revenues</t>
  </si>
  <si>
    <t>Other Operations</t>
  </si>
  <si>
    <t>Intercompany Eliminations</t>
  </si>
  <si>
    <t>Insurance Premiums (ASC 944)</t>
  </si>
  <si>
    <t>Cigna Healthcare</t>
  </si>
  <si>
    <t>U.S Commercial</t>
  </si>
  <si>
    <t>Insured</t>
  </si>
  <si>
    <t>Stop Loss</t>
  </si>
  <si>
    <t>Other</t>
  </si>
  <si>
    <t>U.S Government</t>
  </si>
  <si>
    <t>Medicare Advantage</t>
  </si>
  <si>
    <t>Medicare Part D</t>
  </si>
  <si>
    <t>International Health</t>
  </si>
  <si>
    <t>Divested International Businesses</t>
  </si>
  <si>
    <t>Domestic Disability; Life and accident</t>
  </si>
  <si>
    <t>Intercompany Eliminatioons</t>
  </si>
  <si>
    <t>Service (Fees)(ASC 606)</t>
  </si>
  <si>
    <t>Evernorth Health Services</t>
  </si>
  <si>
    <t>Net investment income</t>
  </si>
  <si>
    <t>Benefits and expenses</t>
  </si>
  <si>
    <t>Pharmacy and other service costs</t>
  </si>
  <si>
    <t>Medical costs and other benefit expenses</t>
  </si>
  <si>
    <t>Selling, general and administrative expenses</t>
  </si>
  <si>
    <t>Amortization of acquired intangible assets</t>
  </si>
  <si>
    <t>Debt extinguishment costs</t>
  </si>
  <si>
    <t>Interest expense and other</t>
  </si>
  <si>
    <t>Net gain (loss) on sale of businesses</t>
  </si>
  <si>
    <t>Net investment losses</t>
  </si>
  <si>
    <t xml:space="preserve">  </t>
  </si>
  <si>
    <t>TOTAL INCOME TAXES</t>
  </si>
  <si>
    <t>Less: Net income attributable to noncontrolling interests</t>
  </si>
  <si>
    <t>Depreciation</t>
  </si>
  <si>
    <t>Capital Expenditures</t>
  </si>
  <si>
    <t>Total Long Term Debt / Revenue</t>
  </si>
  <si>
    <t>Assets</t>
  </si>
  <si>
    <t>Cash and cash equivalents</t>
  </si>
  <si>
    <t>Investments</t>
  </si>
  <si>
    <t>Accounts receivable, net</t>
  </si>
  <si>
    <t>`</t>
  </si>
  <si>
    <t>Inventories</t>
  </si>
  <si>
    <t>Other current assets</t>
  </si>
  <si>
    <t>Assets of businesses held for sale</t>
  </si>
  <si>
    <t>Long-term investments</t>
  </si>
  <si>
    <t>Reinsurance recoverables</t>
  </si>
  <si>
    <t>Property and equipment</t>
  </si>
  <si>
    <t>Goodwill</t>
  </si>
  <si>
    <t>Other intangible assets</t>
  </si>
  <si>
    <t>Other assets</t>
  </si>
  <si>
    <t>Separate account assets</t>
  </si>
  <si>
    <t>Assets of businesses held for sale, non-current</t>
  </si>
  <si>
    <t>Liabilities</t>
  </si>
  <si>
    <t>Current insurance and contractholder liabilities</t>
  </si>
  <si>
    <t>Pharmacy and other service costs payable</t>
  </si>
  <si>
    <t>Accounts payable</t>
  </si>
  <si>
    <t>Accrued expenses and other liabilities</t>
  </si>
  <si>
    <t>Liabilities of businesses held for sale</t>
  </si>
  <si>
    <t>Non-current insurance and contractholder liabilities</t>
  </si>
  <si>
    <t>Deferred tax liabilities, net</t>
  </si>
  <si>
    <t>Other non-current liabilities</t>
  </si>
  <si>
    <t>Separate account liabilities</t>
  </si>
  <si>
    <t>Liabilities of businesses held for sale, non-current</t>
  </si>
  <si>
    <t>Shareholders' equity</t>
  </si>
  <si>
    <t>Redeemable noncontrolling interests</t>
  </si>
  <si>
    <t>Common stock</t>
  </si>
  <si>
    <t>Additional paid-in capital</t>
  </si>
  <si>
    <t>Accumulated other comprehensive loss</t>
  </si>
  <si>
    <t>Retained earnings</t>
  </si>
  <si>
    <t>Less: Treasury stock, at cost</t>
  </si>
  <si>
    <t>Other noncontrolling interests</t>
  </si>
  <si>
    <t>Consolidated Statements of Income</t>
  </si>
  <si>
    <t>$ in Millions except Per Share Data</t>
  </si>
  <si>
    <t>Revenues</t>
  </si>
  <si>
    <t>Total Pharmacy Revenue</t>
  </si>
  <si>
    <t>Total Cigna Healthcare</t>
  </si>
  <si>
    <t>Total Premiums</t>
  </si>
  <si>
    <t>Total Fees and other Revenues</t>
  </si>
  <si>
    <t>Total Revenues from External Customers</t>
  </si>
  <si>
    <t>TOTAL REVENUES</t>
  </si>
  <si>
    <t>TOTAL BENEFITS AND EXPENSES</t>
  </si>
  <si>
    <t>Income from operations</t>
  </si>
  <si>
    <t>Income before income taxes</t>
  </si>
  <si>
    <t>Net income</t>
  </si>
  <si>
    <t>SHAREHOLDERS' NET INCOME</t>
  </si>
  <si>
    <t>Shareholders' net income per share</t>
  </si>
  <si>
    <t>Basic (in dollars per share)</t>
  </si>
  <si>
    <t>Diluted (in dollars per share)</t>
  </si>
  <si>
    <t xml:space="preserve">Consolidated Balance Sheets </t>
  </si>
  <si>
    <t>$ in Millions</t>
  </si>
  <si>
    <t>Excess Cash</t>
  </si>
  <si>
    <t>Total current assets</t>
  </si>
  <si>
    <t>TOTAL ASSETS</t>
  </si>
  <si>
    <t>Revolver</t>
  </si>
  <si>
    <t>Short-term debt</t>
  </si>
  <si>
    <t>Term March 2026</t>
  </si>
  <si>
    <t>Other, including finance leases</t>
  </si>
  <si>
    <t>Total current liabilities</t>
  </si>
  <si>
    <t>Long-term debt</t>
  </si>
  <si>
    <t>Term  March 2027</t>
  </si>
  <si>
    <t>Term  May 207</t>
  </si>
  <si>
    <t>Term  October 2027</t>
  </si>
  <si>
    <t>Term October 2028</t>
  </si>
  <si>
    <t>Term May 2029</t>
  </si>
  <si>
    <t>Term March 2030</t>
  </si>
  <si>
    <t>Term September 2030</t>
  </si>
  <si>
    <t>Term March 2031</t>
  </si>
  <si>
    <t>Term May 2031</t>
  </si>
  <si>
    <t>Term September 2032</t>
  </si>
  <si>
    <t>Term January 2033</t>
  </si>
  <si>
    <t>Term March 2033</t>
  </si>
  <si>
    <t>Term February 2034</t>
  </si>
  <si>
    <t>Term January 2036</t>
  </si>
  <si>
    <t>Term November 2036</t>
  </si>
  <si>
    <t>Term  August 2038</t>
  </si>
  <si>
    <t>Term March 2040</t>
  </si>
  <si>
    <t>Term March 2041</t>
  </si>
  <si>
    <t>Term  November 2041</t>
  </si>
  <si>
    <t>Term  February 2042</t>
  </si>
  <si>
    <t>Term  July 2046</t>
  </si>
  <si>
    <t>Term October 2047</t>
  </si>
  <si>
    <t>Term December 2048</t>
  </si>
  <si>
    <t>Term March 2050</t>
  </si>
  <si>
    <t>Term March 2051</t>
  </si>
  <si>
    <t>Term February 2054</t>
  </si>
  <si>
    <t>Term January 2056</t>
  </si>
  <si>
    <t>TOTAL LIABILITIES</t>
  </si>
  <si>
    <t>TOTAL SHAREHOLDERS' EQUITY</t>
  </si>
  <si>
    <t>Total equity</t>
  </si>
  <si>
    <t>Total liabilities and equity</t>
  </si>
  <si>
    <t>Check</t>
  </si>
  <si>
    <t>Cash Flow Operations</t>
  </si>
  <si>
    <t>Cash Flow Financing</t>
  </si>
  <si>
    <t>Net Change in Cash</t>
  </si>
  <si>
    <t>Required Cash</t>
  </si>
  <si>
    <t>Net Income</t>
  </si>
  <si>
    <t>Receivables</t>
  </si>
  <si>
    <t>Other Current Assets</t>
  </si>
  <si>
    <t>Assets of Businesses</t>
  </si>
  <si>
    <t>Insurance Liabilities</t>
  </si>
  <si>
    <t>Pharamcy payable</t>
  </si>
  <si>
    <t>Accts Payable</t>
  </si>
  <si>
    <t>Accrued expense</t>
  </si>
  <si>
    <t>CFO</t>
  </si>
  <si>
    <t>Long Investments</t>
  </si>
  <si>
    <t xml:space="preserve">Reinsurance </t>
  </si>
  <si>
    <t>Other intangible</t>
  </si>
  <si>
    <t>Separate acct assets</t>
  </si>
  <si>
    <t>Ins. Liabilities</t>
  </si>
  <si>
    <t>Tax Liabilities</t>
  </si>
  <si>
    <t>Other non-current</t>
  </si>
  <si>
    <t>Sep acct liabilities</t>
  </si>
  <si>
    <t>Finance Leases</t>
  </si>
  <si>
    <t>Beg Cash</t>
  </si>
  <si>
    <t>Change in CFS</t>
  </si>
  <si>
    <t>Net Available</t>
  </si>
  <si>
    <t>Req Cash</t>
  </si>
  <si>
    <t>Excess Cash/(Revolver)</t>
  </si>
  <si>
    <t>Retained Earnings</t>
  </si>
  <si>
    <t>Beginning Balance</t>
  </si>
  <si>
    <t>Common Dividends Declared</t>
  </si>
  <si>
    <t>Additional Balance</t>
  </si>
  <si>
    <t>Ending Balance</t>
  </si>
  <si>
    <t>Real From BS</t>
  </si>
  <si>
    <t>PP&amp;E</t>
  </si>
  <si>
    <t>Operating Working Capital</t>
  </si>
  <si>
    <t>Current Assets:</t>
  </si>
  <si>
    <t>Prepaid Expenses and Other</t>
  </si>
  <si>
    <t>Total Operating Assets</t>
  </si>
  <si>
    <t>Current Liabilities:</t>
  </si>
  <si>
    <t>Current Insurance and contract holder</t>
  </si>
  <si>
    <t>Accrued expenses</t>
  </si>
  <si>
    <t>Total Operating Liabilities</t>
  </si>
  <si>
    <t>Changes In Operating Assets(cash flow)</t>
  </si>
  <si>
    <t>Changes in Operating Liabilities(Cash Flow)</t>
  </si>
  <si>
    <t>Changes Operating Working Capital</t>
  </si>
  <si>
    <t>Non Working Capital Analysis</t>
  </si>
  <si>
    <t>Other intangible assets, net</t>
  </si>
  <si>
    <t>Other long-term assets</t>
  </si>
  <si>
    <t>Total Non Working Assets</t>
  </si>
  <si>
    <t>Deferred tax liabilities</t>
  </si>
  <si>
    <t>Other long-term liabilities</t>
  </si>
  <si>
    <t>Total Non Working Liabilities</t>
  </si>
  <si>
    <t>Changes In Non Working Assets</t>
  </si>
  <si>
    <t>Changes In Non Working Liabilites</t>
  </si>
  <si>
    <t>Changes In Non Operating Working Capital</t>
  </si>
  <si>
    <t>CI Debt Schedule</t>
  </si>
  <si>
    <t>(in $millions)</t>
  </si>
  <si>
    <t>Short Term Debt</t>
  </si>
  <si>
    <t>March 2026 Beginning Balance</t>
  </si>
  <si>
    <t>Paydown 2026</t>
  </si>
  <si>
    <t>March 2026 Ending Balance</t>
  </si>
  <si>
    <t>Interest Rate</t>
  </si>
  <si>
    <t>Average Balance</t>
  </si>
  <si>
    <t>Interest Expense</t>
  </si>
  <si>
    <t>Other, Including Finance Leases Beginning Balance</t>
  </si>
  <si>
    <t>Paydown</t>
  </si>
  <si>
    <t>Other, Including Finance Leases Ending Balance</t>
  </si>
  <si>
    <t>Long Term Debt</t>
  </si>
  <si>
    <t>March 2027 Term Loan Beginning Balance</t>
  </si>
  <si>
    <t>Paydown (2026-2027)</t>
  </si>
  <si>
    <t>March 2027 Term Loan Ending Balance</t>
  </si>
  <si>
    <t xml:space="preserve">Interest Rate </t>
  </si>
  <si>
    <t>May 2027 Term Loan Beginning Balance</t>
  </si>
  <si>
    <t>May 2027 Term Loan Ending Balance</t>
  </si>
  <si>
    <t>October 2027 Term Loan Beginning Balance</t>
  </si>
  <si>
    <t>October 2027 Term Loan Ending Balance</t>
  </si>
  <si>
    <t>October 2028 Term Loan Beginning Balance</t>
  </si>
  <si>
    <t>Paydown (2026-2028)</t>
  </si>
  <si>
    <t>October 2028 Term Loan Ending Balance</t>
  </si>
  <si>
    <t>May 2029 Term Loan Beginning Balance</t>
  </si>
  <si>
    <t>Paydown (2026-2029)</t>
  </si>
  <si>
    <t>May 2029 Term Loan Ending Balance</t>
  </si>
  <si>
    <t>March 2030 Term Loan Beginning Balance</t>
  </si>
  <si>
    <t>Paydown (2026-2030)</t>
  </si>
  <si>
    <t>March 2030 Term Loan Ending Balance</t>
  </si>
  <si>
    <t>September 2030 Term Loan Beginning Balance</t>
  </si>
  <si>
    <t>September 2030 Term Loan Ending Balance</t>
  </si>
  <si>
    <t>March 2031 Term Loan Beginning Balance</t>
  </si>
  <si>
    <t>Paydown (2026-2031)</t>
  </si>
  <si>
    <t>March 2031 Term Loan Ending Balance</t>
  </si>
  <si>
    <t>May 2031 Term Loan Beginning Balance</t>
  </si>
  <si>
    <t>May 2031 Term Loan Ending Balance</t>
  </si>
  <si>
    <t>September 2032 Term Loan Beginning Balance</t>
  </si>
  <si>
    <t>Paydown (2026-2032)</t>
  </si>
  <si>
    <t>September 2032 Term Loan Ending Balance</t>
  </si>
  <si>
    <t>January 2033 Term Loan Beginning Balance</t>
  </si>
  <si>
    <t>Paydown (2026-2033)</t>
  </si>
  <si>
    <t>January 2033 Term Loan Ending Balance</t>
  </si>
  <si>
    <t>March 2033 Term Loan Beginning Balance</t>
  </si>
  <si>
    <t>March 2033 Term Loan Ending Balance</t>
  </si>
  <si>
    <t>February 2034 Term Loan Beginning Balance</t>
  </si>
  <si>
    <t>Paydown (2026-2034)</t>
  </si>
  <si>
    <t>February 2034 Term Loan Ending Balance</t>
  </si>
  <si>
    <t>January 2036 Term Loan Beginning Balance</t>
  </si>
  <si>
    <t>Paydown (2026-2036)</t>
  </si>
  <si>
    <t>January 2036 Term Loan Ending Balance</t>
  </si>
  <si>
    <t>November 2036 Term Loan Beginning Balance</t>
  </si>
  <si>
    <t>November 2036 Term Loan Ending Balance</t>
  </si>
  <si>
    <t>August 2038 Term Loan Beginning Balance</t>
  </si>
  <si>
    <t>Paydown (2026-2038)</t>
  </si>
  <si>
    <t>August 2038 Term Loan Ending Balance</t>
  </si>
  <si>
    <t>March 2040 Term Loan Beginning Balance</t>
  </si>
  <si>
    <t>Paydown (2026-2040)</t>
  </si>
  <si>
    <t>March 2040 Term Loan Ending Balance</t>
  </si>
  <si>
    <t>March 2041 Term Loan Beginning Balance</t>
  </si>
  <si>
    <t>Paydown (2026-2041)</t>
  </si>
  <si>
    <t>March 2041 Term Loan Ending Balance</t>
  </si>
  <si>
    <t>November 2041 Term Loan Beginning Balance</t>
  </si>
  <si>
    <t>November 2041 Term Loan Ending Balance</t>
  </si>
  <si>
    <t>February 2042 Term Loan Beginning Balance</t>
  </si>
  <si>
    <t>Paydown (2026-2042)</t>
  </si>
  <si>
    <t>February 2042 Term Loan Ending Balance</t>
  </si>
  <si>
    <t>July 2046 Term Loan Beginning Balance</t>
  </si>
  <si>
    <t>Paydown (2026-2046)</t>
  </si>
  <si>
    <t>July 2046 Term Loan Ending Balance</t>
  </si>
  <si>
    <t>October 2047 Term Loan Beginning Balance</t>
  </si>
  <si>
    <t>Paydown (2026-2047)</t>
  </si>
  <si>
    <t>October 2047 Term Loan Ending Balance</t>
  </si>
  <si>
    <t>December 2048 Term Loan Beginning Balance</t>
  </si>
  <si>
    <t>Paydown (2026-2048)</t>
  </si>
  <si>
    <t>December 2048 Term Loan Ending Balance</t>
  </si>
  <si>
    <t>March 2050 Term Loan Beginning Balance</t>
  </si>
  <si>
    <t>Paydown (2026-2050)</t>
  </si>
  <si>
    <t>March 2050 Term Loan Ending Balance</t>
  </si>
  <si>
    <t>March 2051 Term Loan Beginning Balance</t>
  </si>
  <si>
    <t>Paydown (2026-2051)</t>
  </si>
  <si>
    <t>March 2051 Term Loan Ending Balance</t>
  </si>
  <si>
    <t>February 2054 Term Loan Beginning Balance</t>
  </si>
  <si>
    <t>Paydown (2026-2054)</t>
  </si>
  <si>
    <t>February 2054 Term Loan Ending Balance</t>
  </si>
  <si>
    <t>January 2056 Term Loan Beginning Balance</t>
  </si>
  <si>
    <t>Paydown (2026-2056)</t>
  </si>
  <si>
    <t>January 2056 Term Loan Ending Balance</t>
  </si>
  <si>
    <t>Other, including finance leases Beginning Balance</t>
  </si>
  <si>
    <t>Other, including finance leases Ending Balance</t>
  </si>
  <si>
    <t>Summary</t>
  </si>
  <si>
    <t>Total Long Term Debt</t>
  </si>
  <si>
    <t>Total Debt</t>
  </si>
  <si>
    <t>Total Short Term Debt Interest</t>
  </si>
  <si>
    <t>Total Long Term Debt Interest</t>
  </si>
  <si>
    <t>Total Debt Interest</t>
  </si>
  <si>
    <t>Cash</t>
  </si>
  <si>
    <t>Total Cash</t>
  </si>
  <si>
    <t>Interest Income</t>
  </si>
  <si>
    <t>LTMs</t>
  </si>
  <si>
    <t>(In Millions of $, except per share data)</t>
  </si>
  <si>
    <t>Cigna Group</t>
  </si>
  <si>
    <t>in millions</t>
  </si>
  <si>
    <t>FY 2025</t>
  </si>
  <si>
    <t>Revenue</t>
  </si>
  <si>
    <t>Operating Income</t>
  </si>
  <si>
    <t>D&amp;A</t>
  </si>
  <si>
    <t>EBITDA</t>
  </si>
  <si>
    <t>CapEx</t>
  </si>
  <si>
    <t>FCF</t>
  </si>
  <si>
    <t>UnitedHealth Group Inc (UNH)</t>
  </si>
  <si>
    <t>Elevance Health Inc (ELV)</t>
  </si>
  <si>
    <t>CVS Health Corp (CVS)</t>
  </si>
  <si>
    <t>EPS CALCS</t>
  </si>
  <si>
    <t>FY2025</t>
  </si>
  <si>
    <t>CI</t>
  </si>
  <si>
    <t>UNH</t>
  </si>
  <si>
    <t>MOH</t>
  </si>
  <si>
    <t>ELV</t>
  </si>
  <si>
    <t>HUM</t>
  </si>
  <si>
    <t>CVS</t>
  </si>
  <si>
    <t>HCA</t>
  </si>
  <si>
    <t>Molina Healthcare Inc (MOH)</t>
  </si>
  <si>
    <t>Humana Inc (HUM)</t>
  </si>
  <si>
    <t>Total Debt &amp; Cash</t>
  </si>
  <si>
    <t>Short Term</t>
  </si>
  <si>
    <t>Long Term</t>
  </si>
  <si>
    <t>Public Company Comparables</t>
  </si>
  <si>
    <t>EV/</t>
  </si>
  <si>
    <t>Company</t>
  </si>
  <si>
    <t>Ticker</t>
  </si>
  <si>
    <t>Share Price</t>
  </si>
  <si>
    <t>Shares Out</t>
  </si>
  <si>
    <t>Equity Value</t>
  </si>
  <si>
    <t>Net Debt</t>
  </si>
  <si>
    <t>Enterprise Value</t>
  </si>
  <si>
    <t>LTM Sales</t>
  </si>
  <si>
    <t>LTM EBITDA</t>
  </si>
  <si>
    <t>LTM EBIT</t>
  </si>
  <si>
    <t>LTM Net Income</t>
  </si>
  <si>
    <t>P/E</t>
  </si>
  <si>
    <t xml:space="preserve">United Healthcare </t>
  </si>
  <si>
    <t xml:space="preserve">Elevance Health </t>
  </si>
  <si>
    <t xml:space="preserve">CVS Health </t>
  </si>
  <si>
    <t>Molina Healthcare Inc</t>
  </si>
  <si>
    <t>Humana Inc</t>
  </si>
  <si>
    <t xml:space="preserve">HCA Healthcare Inc </t>
  </si>
  <si>
    <t>Max</t>
  </si>
  <si>
    <t>Min</t>
  </si>
  <si>
    <t>Median</t>
  </si>
  <si>
    <t>Mean</t>
  </si>
  <si>
    <t>Current</t>
  </si>
  <si>
    <t>CI Share Price 4/14/26</t>
  </si>
  <si>
    <t>KE</t>
  </si>
  <si>
    <t>KD</t>
  </si>
  <si>
    <t>Tax Rate</t>
  </si>
  <si>
    <t>Debt</t>
  </si>
  <si>
    <t>Equity</t>
  </si>
  <si>
    <t>TGT Equity</t>
  </si>
  <si>
    <t>Total Cap</t>
  </si>
  <si>
    <t>RFR</t>
  </si>
  <si>
    <t>Beta</t>
  </si>
  <si>
    <t>ERP</t>
  </si>
  <si>
    <t>Growth Rate</t>
  </si>
  <si>
    <t>Market Cap</t>
  </si>
  <si>
    <t>Terminal Value: Exit Multiple</t>
  </si>
  <si>
    <t>Final Year EBIT</t>
  </si>
  <si>
    <t>EV/EBIT</t>
  </si>
  <si>
    <t>Terminal Value</t>
  </si>
  <si>
    <t>Debt:</t>
  </si>
  <si>
    <t>Rate</t>
  </si>
  <si>
    <t>Term  May 2027</t>
  </si>
  <si>
    <t>Capital Structure</t>
  </si>
  <si>
    <t>Diluted Shares</t>
  </si>
  <si>
    <t>Stock Price</t>
  </si>
  <si>
    <t>Total</t>
  </si>
  <si>
    <t>Discounted Cash Flow</t>
  </si>
  <si>
    <t>Shares in Thousands, $ in Millions</t>
  </si>
  <si>
    <t>Net Sales</t>
  </si>
  <si>
    <t>Gross Proft</t>
  </si>
  <si>
    <t>Operating Expenses</t>
  </si>
  <si>
    <t>EBIT</t>
  </si>
  <si>
    <t>Free Cash Flow Calculations</t>
  </si>
  <si>
    <t>Exit Multiple</t>
  </si>
  <si>
    <t>(Taxes)</t>
  </si>
  <si>
    <t>NOPAT</t>
  </si>
  <si>
    <t>Discount Factor</t>
  </si>
  <si>
    <t>+D&amp;A</t>
  </si>
  <si>
    <t>Discounted Terminal Value</t>
  </si>
  <si>
    <t>(CapEx)</t>
  </si>
  <si>
    <t>(Total Debt)</t>
  </si>
  <si>
    <t>(Changes in NWC)</t>
  </si>
  <si>
    <t>+Total Cash</t>
  </si>
  <si>
    <t>Unlevered Free Cash Flow</t>
  </si>
  <si>
    <t>Mid Year Convention</t>
  </si>
  <si>
    <t>NO</t>
  </si>
  <si>
    <t>Shares Outstanding</t>
  </si>
  <si>
    <t>Year</t>
  </si>
  <si>
    <t>Implied Share Price</t>
  </si>
  <si>
    <t xml:space="preserve">Growth Rate </t>
  </si>
  <si>
    <t>Current Share Price</t>
  </si>
  <si>
    <t>Discount Rate (WACC)</t>
  </si>
  <si>
    <t>Implied Upside/Down Side</t>
  </si>
  <si>
    <t>Total Cash Flows</t>
  </si>
  <si>
    <t>Discounted Free Cash Flow</t>
  </si>
  <si>
    <t>Discount Rate</t>
  </si>
  <si>
    <t>PV of FCFs</t>
  </si>
  <si>
    <t>Implied Share Price Analysis</t>
  </si>
  <si>
    <t>PV of terminal value</t>
  </si>
  <si>
    <t>TEV (Total Enterprise Value)</t>
  </si>
  <si>
    <t>+Cash</t>
  </si>
  <si>
    <t>-Debt</t>
  </si>
  <si>
    <t>Short-Term Debt</t>
  </si>
  <si>
    <t>Long-Term Debt</t>
  </si>
  <si>
    <t>Implied Upside/Downside</t>
  </si>
  <si>
    <t>Rating</t>
  </si>
  <si>
    <t>Valuation Calculations</t>
  </si>
  <si>
    <t>Diluted Shares Outstanding</t>
  </si>
  <si>
    <t>Value per Share</t>
  </si>
  <si>
    <t>Current Price</t>
  </si>
  <si>
    <t>Premium / (Discount) to Intrinsic Value</t>
  </si>
  <si>
    <t>Exit Multiple (EV/EBITDA)</t>
  </si>
  <si>
    <t xml:space="preserve"> Equities</t>
  </si>
  <si>
    <t>Healthcare</t>
  </si>
  <si>
    <t>Pharmaceutical Services</t>
  </si>
  <si>
    <t>NYSE: CI</t>
  </si>
  <si>
    <t>BUY</t>
  </si>
  <si>
    <t>Price (4/14/26):</t>
  </si>
  <si>
    <t>Price Target:</t>
  </si>
  <si>
    <t>Implied Upside/ Downside:</t>
  </si>
  <si>
    <t>Senior Analyst(s)</t>
  </si>
  <si>
    <t>NetID</t>
  </si>
  <si>
    <t>Ohm Shah</t>
  </si>
  <si>
    <t>os254</t>
  </si>
  <si>
    <t>Steven Soza</t>
  </si>
  <si>
    <t>ss3250</t>
  </si>
  <si>
    <t>Junior Analysts</t>
  </si>
  <si>
    <t>Ninaad Hadge</t>
  </si>
  <si>
    <t>nnh40</t>
  </si>
  <si>
    <t>Nicholas Wan</t>
  </si>
  <si>
    <t>nkw25</t>
  </si>
  <si>
    <t>Matthew DiCarlo</t>
  </si>
  <si>
    <t>md2109</t>
  </si>
  <si>
    <t>Karishma Shah</t>
  </si>
  <si>
    <t>ks2278</t>
  </si>
  <si>
    <t>Zohaib Sheikh</t>
  </si>
  <si>
    <t>zs602</t>
  </si>
  <si>
    <t>Estimates</t>
  </si>
  <si>
    <t>Consensus</t>
  </si>
  <si>
    <t>RU-N SMF</t>
  </si>
  <si>
    <t>Price Tgt</t>
  </si>
  <si>
    <t>FY26E Revenue (mm)</t>
  </si>
  <si>
    <t>FY27E Revenue (mm)</t>
  </si>
  <si>
    <t>FY26E EPS</t>
  </si>
  <si>
    <t>FY27E EPS</t>
  </si>
  <si>
    <t>Trading Overview</t>
  </si>
  <si>
    <t>52-Week High / Low</t>
  </si>
  <si>
    <t>$239.51-$350.00</t>
  </si>
  <si>
    <t>Shares Out. (MM)</t>
  </si>
  <si>
    <t>Market Cap (MM)</t>
  </si>
  <si>
    <t>EV/EBITDA</t>
  </si>
  <si>
    <t>Debt to Total Capital</t>
  </si>
  <si>
    <t>Fiscal Year End</t>
  </si>
  <si>
    <t>Price Performance - Year to Date</t>
  </si>
  <si>
    <t>Source - Yahoo Finance</t>
  </si>
  <si>
    <t>January 2058 Term Loan Beginning Balance</t>
  </si>
  <si>
    <t>Paydown (2026-2058)</t>
  </si>
  <si>
    <t>January 2058 Term Loan Ending Balance</t>
  </si>
  <si>
    <t>CFI</t>
  </si>
  <si>
    <t>CFF</t>
  </si>
  <si>
    <t>Cash Flow Investing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</si>
</sst>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0\)"/>
    <numFmt numFmtId="165" formatCode="#,##0.00;\(#,##0.00\)%"/>
    <numFmt numFmtId="166" formatCode="_(* #,##0_);_(* \(#,##0\);_(* &quot;-&quot;??_);_(@_)"/>
    <numFmt numFmtId="167" formatCode="&quot;$&quot;#,##0"/>
    <numFmt numFmtId="168" formatCode="0.00\x;\(0.00\x\)"/>
    <numFmt numFmtId="169" formatCode="0\x"/>
    <numFmt numFmtId="170" formatCode="0.00\x"/>
    <numFmt numFmtId="171" formatCode="0.000%"/>
    <numFmt numFmtId="172" formatCode="&quot;$&quot;#,##0.00"/>
    <numFmt numFmtId="173" formatCode="0000\A"/>
    <numFmt numFmtId="174" formatCode="0000\E"/>
    <numFmt numFmtId="175" formatCode="0.0&quot;x&quot;\ "/>
    <numFmt numFmtId="176" formatCode="\1"/>
    <numFmt numFmtId="177" formatCode="\2"/>
    <numFmt numFmtId="178" formatCode="\3"/>
    <numFmt numFmtId="179" formatCode="\4"/>
    <numFmt numFmtId="180" formatCode="\5"/>
    <numFmt numFmtId="181" formatCode="\6"/>
    <numFmt numFmtId="182" formatCode="\7"/>
    <numFmt numFmtId="183" formatCode="\8"/>
    <numFmt numFmtId="184" formatCode="\9"/>
    <numFmt numFmtId="185" formatCode="\10"/>
    <numFmt numFmtId="186" formatCode="#,###"/>
    <numFmt numFmtId="187" formatCode="0.00_);\(0.00\)"/>
  </numFmts>
  <fonts count="94" x14ac:knownFonts="1">
    <font>
      <sz val="11"/>
      <color theme="1"/>
      <name val="Aptos Narrow"/>
      <family val="2"/>
      <scheme val="minor"/>
    </font>
    <font>
      <sz val="11"/>
      <name val="Aptos Narrow"/>
      <family val="2"/>
    </font>
    <font>
      <b/>
      <sz val="8"/>
      <color rgb="FF000000"/>
      <name val="Arial"/>
      <family val="2"/>
    </font>
    <font>
      <sz val="8"/>
      <color rgb="FF000000"/>
      <name val="Arial"/>
      <family val="2"/>
    </font>
    <font>
      <u/>
      <sz val="11"/>
      <color theme="10"/>
      <name val="Aptos Narrow"/>
      <family val="2"/>
      <scheme val="minor"/>
    </font>
    <font>
      <b/>
      <i/>
      <sz val="8.25"/>
      <color rgb="FF000000"/>
      <name val="Arial"/>
      <family val="2"/>
    </font>
    <font>
      <sz val="11"/>
      <color rgb="FF0070C0"/>
      <name val="Aptos Narrow"/>
      <family val="2"/>
      <scheme val="minor"/>
    </font>
    <font>
      <sz val="10"/>
      <color theme="1"/>
      <name val="Aptos Narrow"/>
      <family val="2"/>
      <scheme val="minor"/>
    </font>
    <font>
      <sz val="10"/>
      <color rgb="FF0070C0"/>
      <name val="Aptos Narrow"/>
      <family val="2"/>
      <scheme val="minor"/>
    </font>
    <font>
      <u/>
      <sz val="10"/>
      <color theme="1"/>
      <name val="Aptos Narrow"/>
      <family val="2"/>
      <scheme val="minor"/>
    </font>
    <font>
      <sz val="10"/>
      <color rgb="FF0070C0"/>
      <name val="Arial"/>
      <family val="2"/>
    </font>
    <font>
      <sz val="10"/>
      <name val="Arial"/>
      <family val="2"/>
    </font>
    <font>
      <sz val="10"/>
      <color rgb="FF000000"/>
      <name val="Arial"/>
      <family val="2"/>
    </font>
    <font>
      <u/>
      <sz val="10"/>
      <color theme="10"/>
      <name val="Aptos Narrow"/>
      <family val="2"/>
      <scheme val="minor"/>
    </font>
    <font>
      <i/>
      <sz val="10"/>
      <color rgb="FF000000"/>
      <name val="Arial"/>
      <family val="2"/>
    </font>
    <font>
      <b/>
      <sz val="10"/>
      <color theme="1"/>
      <name val="Aptos Narrow"/>
      <family val="2"/>
      <scheme val="minor"/>
    </font>
    <font>
      <sz val="11"/>
      <color rgb="FF00B050"/>
      <name val="Aptos Narrow"/>
      <family val="2"/>
      <scheme val="minor"/>
    </font>
    <font>
      <b/>
      <sz val="9"/>
      <color rgb="FF000000"/>
      <name val="Tahoma"/>
      <family val="2"/>
    </font>
    <font>
      <sz val="9"/>
      <color rgb="FF000000"/>
      <name val="Tahoma"/>
      <family val="2"/>
    </font>
    <font>
      <sz val="11"/>
      <color theme="1"/>
      <name val="Aptos Narrow"/>
      <family val="2"/>
      <scheme val="minor"/>
    </font>
    <font>
      <sz val="9"/>
      <color indexed="81"/>
      <name val="Tahoma"/>
      <family val="2"/>
    </font>
    <font>
      <b/>
      <sz val="9"/>
      <color indexed="81"/>
      <name val="Tahoma"/>
      <family val="2"/>
    </font>
    <font>
      <sz val="11"/>
      <name val="Aptos Narrow"/>
      <family val="2"/>
      <scheme val="minor"/>
    </font>
    <font>
      <b/>
      <sz val="11"/>
      <color theme="1"/>
      <name val="Aptos Narrow"/>
      <family val="2"/>
      <scheme val="minor"/>
    </font>
    <font>
      <sz val="10"/>
      <color rgb="FF000000"/>
      <name val="Tahoma"/>
      <family val="2"/>
    </font>
    <font>
      <b/>
      <sz val="10"/>
      <color rgb="FF000000"/>
      <name val="Tahoma"/>
      <family val="2"/>
    </font>
    <font>
      <sz val="10"/>
      <color rgb="FF000000"/>
      <name val="Aptos Narrow"/>
      <family val="2"/>
      <scheme val="minor"/>
    </font>
    <font>
      <sz val="11"/>
      <color theme="1"/>
      <name val="Aptos Narrow"/>
      <family val="2"/>
      <scheme val="minor"/>
    </font>
    <font>
      <sz val="11"/>
      <color theme="0"/>
      <name val="Aptos Narrow"/>
      <family val="2"/>
      <scheme val="minor"/>
    </font>
    <font>
      <b/>
      <sz val="12"/>
      <color theme="0"/>
      <name val="Arial"/>
      <family val="2"/>
    </font>
    <font>
      <b/>
      <sz val="8"/>
      <color theme="0"/>
      <name val="Arial"/>
      <family val="2"/>
    </font>
    <font>
      <b/>
      <sz val="14"/>
      <color theme="0"/>
      <name val="Arial"/>
      <family val="2"/>
    </font>
    <font>
      <sz val="11"/>
      <color rgb="FF000000"/>
      <name val="Aptos Narrow"/>
      <family val="2"/>
    </font>
    <font>
      <sz val="10"/>
      <color rgb="FF000000"/>
      <name val="Aptos Narrow"/>
      <family val="2"/>
    </font>
    <font>
      <b/>
      <sz val="10"/>
      <color rgb="FF000000"/>
      <name val="Aptos Narrow"/>
      <family val="2"/>
    </font>
    <font>
      <sz val="10"/>
      <color rgb="FF00B050"/>
      <name val="Aptos Narrow"/>
      <family val="2"/>
      <scheme val="minor"/>
    </font>
    <font>
      <sz val="10"/>
      <color rgb="FF00B050"/>
      <name val="Arial"/>
      <family val="2"/>
    </font>
    <font>
      <sz val="10"/>
      <color theme="10"/>
      <name val="Aptos Narrow"/>
      <family val="2"/>
      <scheme val="minor"/>
    </font>
    <font>
      <sz val="10"/>
      <color theme="1"/>
      <name val="Calibri"/>
      <family val="2"/>
    </font>
    <font>
      <sz val="10"/>
      <name val="Aptos Narrow"/>
      <family val="2"/>
      <scheme val="minor"/>
    </font>
    <font>
      <b/>
      <sz val="11"/>
      <color rgb="FF00B050"/>
      <name val="Aptos Narrow"/>
      <family val="2"/>
      <scheme val="minor"/>
    </font>
    <font>
      <b/>
      <sz val="11"/>
      <name val="Aptos Narrow"/>
      <family val="2"/>
      <scheme val="minor"/>
    </font>
    <font>
      <sz val="12"/>
      <color rgb="FF00B050"/>
      <name val="Calibri"/>
      <family val="2"/>
    </font>
    <font>
      <b/>
      <sz val="12"/>
      <color theme="1"/>
      <name val="Calibri"/>
      <family val="2"/>
    </font>
    <font>
      <sz val="12"/>
      <color theme="1"/>
      <name val="Calibri"/>
      <family val="2"/>
    </font>
    <font>
      <b/>
      <sz val="10"/>
      <color theme="0"/>
      <name val="Arial"/>
      <family val="2"/>
    </font>
    <font>
      <b/>
      <sz val="10"/>
      <name val="Aptos Narrow"/>
      <family val="2"/>
      <scheme val="minor"/>
    </font>
    <font>
      <b/>
      <sz val="10"/>
      <color rgb="FF0070C0"/>
      <name val="Aptos Narrow"/>
      <family val="2"/>
      <scheme val="minor"/>
    </font>
    <font>
      <b/>
      <sz val="14"/>
      <color theme="1"/>
      <name val="Century Schoolbook"/>
      <family val="1"/>
    </font>
    <font>
      <sz val="11"/>
      <color rgb="FFFFFFFF"/>
      <name val="Aptos Narrow"/>
      <family val="2"/>
    </font>
    <font>
      <b/>
      <sz val="12"/>
      <color rgb="FFFFFFFF"/>
      <name val="Aptos Narrow"/>
      <family val="2"/>
    </font>
    <font>
      <b/>
      <u/>
      <sz val="11"/>
      <color rgb="FF000000"/>
      <name val="Aptos Narrow"/>
      <family val="2"/>
    </font>
    <font>
      <b/>
      <sz val="11"/>
      <color rgb="FF000000"/>
      <name val="Aptos Narrow"/>
      <family val="2"/>
    </font>
    <font>
      <sz val="11"/>
      <color rgb="FF0070C0"/>
      <name val="Aptos Narrow"/>
      <family val="2"/>
    </font>
    <font>
      <b/>
      <i/>
      <sz val="11"/>
      <color theme="0"/>
      <name val="Aptos Narrow"/>
      <family val="2"/>
    </font>
    <font>
      <i/>
      <sz val="11"/>
      <color theme="0"/>
      <name val="Aptos Display"/>
      <family val="2"/>
      <scheme val="major"/>
    </font>
    <font>
      <b/>
      <sz val="18"/>
      <color theme="0"/>
      <name val="Aptos Display"/>
      <family val="2"/>
      <scheme val="major"/>
    </font>
    <font>
      <sz val="16"/>
      <color theme="0"/>
      <name val="Aptos Narrow"/>
      <family val="2"/>
      <scheme val="minor"/>
    </font>
    <font>
      <b/>
      <sz val="16"/>
      <color theme="0"/>
      <name val="Aptos Narrow"/>
      <family val="2"/>
      <scheme val="minor"/>
    </font>
    <font>
      <sz val="10"/>
      <color rgb="FF0070C0"/>
      <name val="Calibri"/>
      <family val="2"/>
    </font>
    <font>
      <b/>
      <sz val="11"/>
      <name val="Aptos Narrow"/>
      <family val="2"/>
    </font>
    <font>
      <sz val="11"/>
      <color rgb="FF00B050"/>
      <name val="Aptos Narrow"/>
      <family val="2"/>
    </font>
    <font>
      <b/>
      <sz val="11"/>
      <color theme="0"/>
      <name val="Aptos Narrow"/>
      <family val="2"/>
      <scheme val="minor"/>
    </font>
    <font>
      <b/>
      <sz val="8"/>
      <name val="Arial"/>
      <family val="2"/>
    </font>
    <font>
      <b/>
      <sz val="8"/>
      <color rgb="FF0070C0"/>
      <name val="Arial"/>
      <family val="2"/>
    </font>
    <font>
      <b/>
      <sz val="8"/>
      <color rgb="FF00B050"/>
      <name val="Arial"/>
      <family val="2"/>
    </font>
    <font>
      <b/>
      <sz val="11"/>
      <color theme="0"/>
      <name val="Arial"/>
      <family val="2"/>
    </font>
    <font>
      <b/>
      <i/>
      <sz val="11"/>
      <color theme="0"/>
      <name val="Arial"/>
      <family val="2"/>
    </font>
    <font>
      <sz val="11"/>
      <color rgb="FF00B050"/>
      <name val="Calibri"/>
      <family val="2"/>
    </font>
    <font>
      <b/>
      <sz val="11"/>
      <color theme="1"/>
      <name val="Calibri"/>
      <family val="2"/>
    </font>
    <font>
      <b/>
      <sz val="11"/>
      <color theme="1"/>
      <name val="Aptos Narrow"/>
      <family val="2"/>
    </font>
    <font>
      <sz val="11"/>
      <color theme="9" tint="-0.499984740745262"/>
      <name val="Aptos Narrow"/>
      <family val="2"/>
      <scheme val="minor"/>
    </font>
    <font>
      <b/>
      <sz val="11"/>
      <name val="Arial"/>
      <family val="2"/>
    </font>
    <font>
      <sz val="11"/>
      <color theme="1"/>
      <name val="Calibri"/>
      <family val="2"/>
    </font>
    <font>
      <b/>
      <sz val="12"/>
      <color theme="0"/>
      <name val="Aptos Narrow"/>
      <family val="2"/>
      <scheme val="minor"/>
    </font>
    <font>
      <sz val="12"/>
      <color rgb="FF00B050"/>
      <name val="Aptos Narrow"/>
      <family val="2"/>
      <scheme val="minor"/>
    </font>
    <font>
      <b/>
      <sz val="12"/>
      <color theme="1"/>
      <name val="Aptos Narrow"/>
      <family val="2"/>
      <scheme val="minor"/>
    </font>
    <font>
      <sz val="11"/>
      <color rgb="FF56B948"/>
      <name val="Aptos Narrow"/>
      <family val="2"/>
      <scheme val="minor"/>
    </font>
    <font>
      <sz val="11"/>
      <color rgb="FF000000"/>
      <name val="Aptos Narrow"/>
      <family val="2"/>
      <scheme val="minor"/>
    </font>
    <font>
      <u/>
      <sz val="12"/>
      <color theme="1"/>
      <name val="Century Schoolbook"/>
      <family val="1"/>
    </font>
    <font>
      <b/>
      <u/>
      <sz val="11"/>
      <color theme="1"/>
      <name val="Aptos Narrow"/>
      <family val="2"/>
      <scheme val="minor"/>
    </font>
    <font>
      <sz val="18"/>
      <color theme="0"/>
      <name val="Times New Roman"/>
      <family val="1"/>
    </font>
    <font>
      <sz val="168"/>
      <color theme="1"/>
      <name val="Aptos Narrow"/>
      <family val="2"/>
      <scheme val="minor"/>
    </font>
    <font>
      <sz val="16"/>
      <color theme="1"/>
      <name val="Aptos Narrow"/>
      <family val="2"/>
      <scheme val="minor"/>
    </font>
    <font>
      <sz val="12"/>
      <color theme="0"/>
      <name val="Century Schoolbook"/>
      <family val="1"/>
    </font>
    <font>
      <b/>
      <sz val="12"/>
      <color theme="0"/>
      <name val="Century Schoolbook"/>
      <family val="1"/>
    </font>
    <font>
      <b/>
      <sz val="11"/>
      <color theme="0"/>
      <name val="Century Schoolbook"/>
      <family val="1"/>
    </font>
    <font>
      <i/>
      <sz val="8.5"/>
      <color theme="0"/>
      <name val="Century Schoolbook"/>
      <family val="1"/>
    </font>
    <font>
      <sz val="11"/>
      <color rgb="FF0982C6"/>
      <name val="Aptos Narrow"/>
      <family val="2"/>
      <scheme val="minor"/>
    </font>
    <font>
      <u/>
      <sz val="12"/>
      <name val="Century Schoolbook"/>
      <family val="1"/>
    </font>
    <font>
      <sz val="8"/>
      <color rgb="FF000000"/>
      <name val="Arial"/>
      <family val="2"/>
    </font>
    <font>
      <sz val="10"/>
      <color rgb="FF0070C0"/>
      <name val="Arial"/>
      <family val="2"/>
    </font>
    <font>
      <i/>
      <sz val="10"/>
      <color rgb="FF000000"/>
      <name val="Arial"/>
      <family val="2"/>
    </font>
    <font>
      <i/>
      <sz val="11"/>
      <color theme="1"/>
      <name val="Aptos Narrow"/>
      <family val="2"/>
      <scheme val="minor"/>
    </font>
  </fonts>
  <fills count="10">
    <fill>
      <patternFill patternType="none"/>
    </fill>
    <fill>
      <patternFill patternType="gray125"/>
    </fill>
    <fill>
      <patternFill patternType="solid">
        <fgColor rgb="FFFFFFFF"/>
        <bgColor indexed="64"/>
      </patternFill>
    </fill>
    <fill>
      <patternFill patternType="solid">
        <fgColor rgb="FF0982C6"/>
        <bgColor indexed="64"/>
      </patternFill>
    </fill>
    <fill>
      <patternFill patternType="solid">
        <fgColor rgb="FF56B948"/>
        <bgColor indexed="64"/>
      </patternFill>
    </fill>
    <fill>
      <patternFill patternType="solid">
        <fgColor rgb="FFBFE4BA"/>
        <bgColor indexed="64"/>
      </patternFill>
    </fill>
    <fill>
      <patternFill patternType="solid">
        <fgColor theme="0"/>
        <bgColor indexed="64"/>
      </patternFill>
    </fill>
    <fill>
      <patternFill patternType="solid">
        <fgColor rgb="FFFFFFFF"/>
        <bgColor rgb="FFFFFFFF"/>
      </patternFill>
    </fill>
    <fill>
      <patternFill patternType="solid">
        <fgColor rgb="FF0982C6"/>
        <bgColor rgb="FF000000"/>
      </patternFill>
    </fill>
    <fill>
      <patternFill patternType="solid">
        <fgColor rgb="FF0982C6"/>
        <bgColor rgb="FFFFFFFF"/>
      </patternFill>
    </fill>
  </fills>
  <borders count="57">
    <border>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medium">
        <color auto="1"/>
      </left>
      <right/>
      <top/>
      <bottom style="medium">
        <color auto="1"/>
      </bottom>
      <diagonal/>
    </border>
    <border>
      <left style="medium">
        <color theme="0"/>
      </left>
      <right style="medium">
        <color theme="0"/>
      </right>
      <top/>
      <bottom style="thin">
        <color auto="1"/>
      </bottom>
      <diagonal/>
    </border>
    <border>
      <left style="medium">
        <color theme="0"/>
      </left>
      <right style="medium">
        <color theme="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auto="1"/>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auto="1"/>
      </left>
      <right/>
      <top/>
      <bottom/>
      <diagonal/>
    </border>
    <border>
      <left style="medium">
        <color theme="0"/>
      </left>
      <right style="thin">
        <color auto="1"/>
      </right>
      <top/>
      <bottom style="thin">
        <color auto="1"/>
      </bottom>
      <diagonal/>
    </border>
    <border>
      <left style="thin">
        <color auto="1"/>
      </left>
      <right style="medium">
        <color theme="0"/>
      </right>
      <top/>
      <bottom style="thin">
        <color auto="1"/>
      </bottom>
      <diagonal/>
    </border>
    <border>
      <left style="medium">
        <color auto="1"/>
      </left>
      <right style="medium">
        <color theme="0"/>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rgb="FF000000"/>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indexed="64"/>
      </top>
      <bottom style="medium">
        <color indexed="64"/>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theme="0"/>
      </left>
      <right style="medium">
        <color theme="0"/>
      </right>
      <top/>
      <bottom/>
      <diagonal/>
    </border>
    <border>
      <left style="medium">
        <color theme="0"/>
      </left>
      <right style="medium">
        <color indexed="64"/>
      </right>
      <top/>
      <bottom style="thin">
        <color auto="1"/>
      </bottom>
      <diagonal/>
    </border>
    <border>
      <left style="medium">
        <color indexed="64"/>
      </left>
      <right/>
      <top style="medium">
        <color auto="1"/>
      </top>
      <bottom style="medium">
        <color auto="1"/>
      </bottom>
      <diagonal/>
    </border>
    <border>
      <left/>
      <right style="medium">
        <color indexed="64"/>
      </right>
      <top style="medium">
        <color auto="1"/>
      </top>
      <bottom style="medium">
        <color auto="1"/>
      </bottom>
      <diagonal/>
    </border>
    <border>
      <left style="medium">
        <color theme="0"/>
      </left>
      <right style="medium">
        <color indexed="64"/>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auto="1"/>
      </left>
      <right style="medium">
        <color auto="1"/>
      </right>
      <top/>
      <bottom style="medium">
        <color indexed="64"/>
      </bottom>
      <diagonal/>
    </border>
    <border>
      <left style="medium">
        <color indexed="64"/>
      </left>
      <right style="medium">
        <color auto="1"/>
      </right>
      <top/>
      <bottom/>
      <diagonal/>
    </border>
    <border>
      <left style="medium">
        <color auto="1"/>
      </left>
      <right style="medium">
        <color auto="1"/>
      </right>
      <top style="medium">
        <color auto="1"/>
      </top>
      <bottom/>
      <diagonal/>
    </border>
    <border>
      <left style="thin">
        <color rgb="FF000000"/>
      </left>
      <right/>
      <top/>
      <bottom/>
      <diagonal/>
    </border>
    <border>
      <left/>
      <right/>
      <top/>
      <bottom style="medium">
        <color rgb="FF000000"/>
      </bottom>
      <diagonal/>
    </border>
    <border>
      <left/>
      <right/>
      <top style="mediumDashed">
        <color theme="0"/>
      </top>
      <bottom/>
      <diagonal/>
    </border>
    <border>
      <left/>
      <right/>
      <top style="medium">
        <color theme="0"/>
      </top>
      <bottom/>
      <diagonal/>
    </border>
    <border>
      <left/>
      <right style="thin">
        <color rgb="FF000000"/>
      </right>
      <top/>
      <bottom style="medium">
        <color rgb="FF000000"/>
      </bottom>
      <diagonal/>
    </border>
  </borders>
  <cellStyleXfs count="5">
    <xf numFmtId="0" fontId="0" fillId="0" borderId="0"/>
    <xf numFmtId="0" fontId="4" fillId="0" borderId="0" applyNumberFormat="0" applyFill="0" applyBorder="0" applyAlignment="0" applyProtection="0"/>
    <xf numFmtId="9" fontId="27" fillId="0" borderId="0" applyFont="0" applyFill="0" applyBorder="0" applyAlignment="0" applyProtection="0"/>
    <xf numFmtId="43" fontId="19" fillId="0" borderId="0" applyFont="0" applyFill="0" applyBorder="0" applyAlignment="0" applyProtection="0"/>
    <xf numFmtId="44" fontId="19" fillId="0" borderId="0" applyFont="0" applyFill="0" applyBorder="0" applyAlignment="0" applyProtection="0"/>
  </cellStyleXfs>
  <cellXfs count="634">
    <xf numFmtId="0" fontId="0" fillId="0" borderId="0" xfId="0"/>
    <xf numFmtId="0" fontId="4" fillId="0" borderId="0" xfId="1" applyFill="1" applyBorder="1" applyAlignment="1">
      <alignment horizontal="left" vertical="top" wrapText="1"/>
    </xf>
    <xf numFmtId="0" fontId="3" fillId="0" borderId="0" xfId="0" applyFont="1" applyAlignment="1">
      <alignment horizontal="left" vertical="center" wrapText="1"/>
    </xf>
    <xf numFmtId="6" fontId="3" fillId="0" borderId="0" xfId="0" applyNumberFormat="1" applyFont="1" applyAlignment="1">
      <alignment horizontal="right" vertical="center" indent="2"/>
    </xf>
    <xf numFmtId="3" fontId="3" fillId="0" borderId="0" xfId="0" applyNumberFormat="1" applyFont="1" applyAlignment="1">
      <alignment horizontal="right" vertical="center" indent="2"/>
    </xf>
    <xf numFmtId="3" fontId="3" fillId="0" borderId="0" xfId="0" applyNumberFormat="1" applyFont="1" applyAlignment="1">
      <alignment horizontal="right" vertical="center"/>
    </xf>
    <xf numFmtId="0" fontId="3" fillId="0" borderId="0" xfId="0" applyFont="1" applyAlignment="1">
      <alignment horizontal="right" vertical="center"/>
    </xf>
    <xf numFmtId="0" fontId="3" fillId="0" borderId="0" xfId="0" applyFont="1" applyAlignment="1">
      <alignment horizontal="right" vertical="center" indent="2"/>
    </xf>
    <xf numFmtId="8" fontId="3" fillId="0" borderId="0" xfId="0" applyNumberFormat="1" applyFont="1" applyAlignment="1">
      <alignment horizontal="right" vertical="center" indent="2"/>
    </xf>
    <xf numFmtId="0" fontId="2" fillId="0" borderId="0" xfId="0" applyFont="1" applyAlignment="1">
      <alignment horizontal="left" vertical="center" wrapText="1"/>
    </xf>
    <xf numFmtId="0" fontId="0" fillId="0" borderId="0" xfId="0" applyAlignment="1">
      <alignment vertical="top"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3" fontId="3" fillId="0" borderId="0" xfId="0" applyNumberFormat="1" applyFont="1" applyAlignment="1">
      <alignment vertical="center"/>
    </xf>
    <xf numFmtId="0" fontId="3" fillId="0" borderId="0" xfId="0" applyFont="1" applyAlignment="1">
      <alignment vertical="center"/>
    </xf>
    <xf numFmtId="6" fontId="3" fillId="0" borderId="0" xfId="0" applyNumberFormat="1" applyFont="1" applyAlignment="1">
      <alignment vertical="center"/>
    </xf>
    <xf numFmtId="0" fontId="5" fillId="0" borderId="0" xfId="0" applyFont="1" applyAlignment="1">
      <alignment vertical="center" wrapText="1"/>
    </xf>
    <xf numFmtId="3" fontId="0" fillId="0" borderId="0" xfId="0" applyNumberFormat="1"/>
    <xf numFmtId="0" fontId="7" fillId="0" borderId="5" xfId="0" applyFont="1" applyBorder="1"/>
    <xf numFmtId="0" fontId="7" fillId="0" borderId="0" xfId="0" applyFont="1"/>
    <xf numFmtId="0" fontId="7" fillId="0" borderId="6" xfId="0" applyFont="1" applyBorder="1"/>
    <xf numFmtId="37" fontId="8" fillId="0" borderId="0" xfId="0" applyNumberFormat="1" applyFont="1"/>
    <xf numFmtId="37" fontId="7" fillId="0" borderId="0" xfId="0" applyNumberFormat="1" applyFont="1"/>
    <xf numFmtId="37" fontId="7" fillId="0" borderId="6" xfId="0" applyNumberFormat="1" applyFont="1" applyBorder="1"/>
    <xf numFmtId="0" fontId="9" fillId="0" borderId="5" xfId="0" applyFont="1" applyBorder="1"/>
    <xf numFmtId="37" fontId="10" fillId="0" borderId="0" xfId="0" applyNumberFormat="1" applyFont="1" applyAlignment="1">
      <alignment horizontal="right" vertical="center"/>
    </xf>
    <xf numFmtId="0" fontId="7" fillId="0" borderId="8" xfId="0" applyFont="1" applyBorder="1"/>
    <xf numFmtId="37" fontId="8" fillId="0" borderId="0" xfId="0" applyNumberFormat="1" applyFont="1" applyAlignment="1">
      <alignment horizontal="right"/>
    </xf>
    <xf numFmtId="0" fontId="6" fillId="0" borderId="0" xfId="0" applyFont="1"/>
    <xf numFmtId="10" fontId="0" fillId="0" borderId="0" xfId="0" applyNumberFormat="1"/>
    <xf numFmtId="37" fontId="16" fillId="0" borderId="0" xfId="0" applyNumberFormat="1" applyFont="1"/>
    <xf numFmtId="37" fontId="0" fillId="0" borderId="0" xfId="0" applyNumberFormat="1"/>
    <xf numFmtId="0" fontId="0" fillId="0" borderId="20" xfId="0" applyBorder="1"/>
    <xf numFmtId="10" fontId="6" fillId="0" borderId="0" xfId="0" applyNumberFormat="1" applyFont="1"/>
    <xf numFmtId="164" fontId="0" fillId="0" borderId="0" xfId="0" applyNumberFormat="1"/>
    <xf numFmtId="164" fontId="16" fillId="0" borderId="0" xfId="0" applyNumberFormat="1" applyFont="1"/>
    <xf numFmtId="164" fontId="0" fillId="0" borderId="1" xfId="0" applyNumberFormat="1" applyBorder="1"/>
    <xf numFmtId="0" fontId="6" fillId="0" borderId="22" xfId="0" applyFont="1" applyBorder="1"/>
    <xf numFmtId="0" fontId="0" fillId="0" borderId="23" xfId="0" applyBorder="1"/>
    <xf numFmtId="0" fontId="0" fillId="0" borderId="22" xfId="0" applyBorder="1"/>
    <xf numFmtId="0" fontId="7" fillId="0" borderId="23" xfId="0" applyFont="1" applyBorder="1"/>
    <xf numFmtId="10" fontId="0" fillId="0" borderId="22" xfId="0" applyNumberFormat="1" applyBorder="1"/>
    <xf numFmtId="37" fontId="16" fillId="0" borderId="22" xfId="0" applyNumberFormat="1" applyFont="1" applyBorder="1"/>
    <xf numFmtId="37" fontId="16" fillId="0" borderId="20" xfId="0" applyNumberFormat="1" applyFont="1" applyBorder="1"/>
    <xf numFmtId="37" fontId="16" fillId="0" borderId="21" xfId="0" applyNumberFormat="1" applyFont="1" applyBorder="1"/>
    <xf numFmtId="37" fontId="0" fillId="0" borderId="22" xfId="0" applyNumberFormat="1" applyBorder="1"/>
    <xf numFmtId="10" fontId="22" fillId="0" borderId="23" xfId="0" applyNumberFormat="1" applyFont="1" applyBorder="1"/>
    <xf numFmtId="10" fontId="22" fillId="0" borderId="0" xfId="0" applyNumberFormat="1" applyFont="1"/>
    <xf numFmtId="10" fontId="22" fillId="0" borderId="22" xfId="0" applyNumberFormat="1" applyFont="1" applyBorder="1"/>
    <xf numFmtId="10" fontId="16" fillId="0" borderId="0" xfId="0" applyNumberFormat="1" applyFont="1"/>
    <xf numFmtId="10" fontId="16" fillId="0" borderId="22" xfId="0" applyNumberFormat="1" applyFont="1" applyBorder="1"/>
    <xf numFmtId="37" fontId="16" fillId="0" borderId="23" xfId="0" applyNumberFormat="1" applyFont="1" applyBorder="1"/>
    <xf numFmtId="37" fontId="16" fillId="0" borderId="19" xfId="0" applyNumberFormat="1" applyFont="1" applyBorder="1"/>
    <xf numFmtId="10" fontId="6" fillId="0" borderId="22" xfId="0" applyNumberFormat="1" applyFont="1" applyBorder="1"/>
    <xf numFmtId="0" fontId="0" fillId="4" borderId="0" xfId="0" applyFill="1"/>
    <xf numFmtId="10" fontId="22" fillId="4" borderId="23" xfId="0" applyNumberFormat="1" applyFont="1" applyFill="1" applyBorder="1"/>
    <xf numFmtId="10" fontId="22" fillId="4" borderId="0" xfId="0" applyNumberFormat="1" applyFont="1" applyFill="1"/>
    <xf numFmtId="10" fontId="22" fillId="4" borderId="22" xfId="0" applyNumberFormat="1" applyFont="1" applyFill="1" applyBorder="1"/>
    <xf numFmtId="0" fontId="15" fillId="4" borderId="5" xfId="0" applyFont="1" applyFill="1" applyBorder="1"/>
    <xf numFmtId="0" fontId="15" fillId="4" borderId="27" xfId="0" applyFont="1" applyFill="1" applyBorder="1"/>
    <xf numFmtId="37" fontId="15" fillId="4" borderId="28" xfId="0" applyNumberFormat="1" applyFont="1" applyFill="1" applyBorder="1"/>
    <xf numFmtId="0" fontId="7" fillId="4" borderId="5" xfId="0" applyFont="1" applyFill="1" applyBorder="1"/>
    <xf numFmtId="0" fontId="7" fillId="4" borderId="27" xfId="0" applyFont="1" applyFill="1" applyBorder="1"/>
    <xf numFmtId="0" fontId="12" fillId="4" borderId="0" xfId="0" applyFont="1" applyFill="1" applyAlignment="1">
      <alignment horizontal="left" vertical="center" wrapText="1"/>
    </xf>
    <xf numFmtId="0" fontId="7" fillId="4" borderId="0" xfId="0" applyFont="1" applyFill="1"/>
    <xf numFmtId="0" fontId="13" fillId="4" borderId="0" xfId="1" applyFont="1" applyFill="1" applyBorder="1" applyAlignment="1">
      <alignment vertical="top" wrapText="1"/>
    </xf>
    <xf numFmtId="0" fontId="14" fillId="4" borderId="0" xfId="0" applyFont="1" applyFill="1" applyAlignment="1">
      <alignment vertical="center" wrapText="1"/>
    </xf>
    <xf numFmtId="0" fontId="12" fillId="4" borderId="0" xfId="0" applyFont="1" applyFill="1" applyAlignment="1">
      <alignment vertical="center" wrapText="1"/>
    </xf>
    <xf numFmtId="0" fontId="14" fillId="4" borderId="6" xfId="0" applyFont="1" applyFill="1" applyBorder="1" applyAlignment="1">
      <alignment vertical="center" wrapText="1"/>
    </xf>
    <xf numFmtId="37" fontId="12" fillId="0" borderId="0" xfId="0" applyNumberFormat="1" applyFont="1" applyAlignment="1">
      <alignment horizontal="right" vertical="center"/>
    </xf>
    <xf numFmtId="37" fontId="12" fillId="0" borderId="6" xfId="0" applyNumberFormat="1" applyFont="1" applyBorder="1" applyAlignment="1">
      <alignment horizontal="right" vertical="center"/>
    </xf>
    <xf numFmtId="10" fontId="6" fillId="0" borderId="0" xfId="2" applyNumberFormat="1" applyFont="1" applyBorder="1"/>
    <xf numFmtId="10" fontId="6" fillId="0" borderId="22" xfId="2" applyNumberFormat="1" applyFont="1" applyBorder="1"/>
    <xf numFmtId="0" fontId="0" fillId="5" borderId="0" xfId="0" applyFill="1"/>
    <xf numFmtId="10" fontId="22" fillId="5" borderId="23" xfId="0" applyNumberFormat="1" applyFont="1" applyFill="1" applyBorder="1"/>
    <xf numFmtId="10" fontId="22" fillId="5" borderId="0" xfId="0" applyNumberFormat="1" applyFont="1" applyFill="1"/>
    <xf numFmtId="10" fontId="22" fillId="5" borderId="22" xfId="0" applyNumberFormat="1" applyFont="1" applyFill="1" applyBorder="1"/>
    <xf numFmtId="0" fontId="7" fillId="5" borderId="30" xfId="0" applyFont="1" applyFill="1" applyBorder="1"/>
    <xf numFmtId="37" fontId="7" fillId="5" borderId="31" xfId="0" applyNumberFormat="1" applyFont="1" applyFill="1" applyBorder="1"/>
    <xf numFmtId="37" fontId="12" fillId="4" borderId="0" xfId="0" applyNumberFormat="1" applyFont="1" applyFill="1" applyAlignment="1">
      <alignment horizontal="right" vertical="center" wrapText="1"/>
    </xf>
    <xf numFmtId="37" fontId="10" fillId="4" borderId="0" xfId="0" applyNumberFormat="1" applyFont="1" applyFill="1" applyAlignment="1">
      <alignment horizontal="right" vertical="center" wrapText="1"/>
    </xf>
    <xf numFmtId="37" fontId="8" fillId="4" borderId="0" xfId="0" applyNumberFormat="1" applyFont="1" applyFill="1" applyAlignment="1">
      <alignment horizontal="right"/>
    </xf>
    <xf numFmtId="0" fontId="7" fillId="5" borderId="27" xfId="0" applyFont="1" applyFill="1" applyBorder="1"/>
    <xf numFmtId="37" fontId="12" fillId="5" borderId="28" xfId="0" applyNumberFormat="1" applyFont="1" applyFill="1" applyBorder="1" applyAlignment="1">
      <alignment horizontal="right" vertical="center"/>
    </xf>
    <xf numFmtId="37" fontId="12" fillId="5" borderId="32" xfId="0" applyNumberFormat="1" applyFont="1" applyFill="1" applyBorder="1" applyAlignment="1">
      <alignment horizontal="right" vertical="center"/>
    </xf>
    <xf numFmtId="0" fontId="28" fillId="3" borderId="17" xfId="0" applyFont="1" applyFill="1" applyBorder="1" applyAlignment="1">
      <alignment horizontal="centerContinuous"/>
    </xf>
    <xf numFmtId="0" fontId="28" fillId="3" borderId="18" xfId="0" applyFont="1" applyFill="1" applyBorder="1" applyAlignment="1">
      <alignment horizontal="centerContinuous"/>
    </xf>
    <xf numFmtId="0" fontId="28" fillId="3" borderId="25" xfId="0" applyFont="1" applyFill="1" applyBorder="1"/>
    <xf numFmtId="0" fontId="28" fillId="3" borderId="16" xfId="0" applyFont="1" applyFill="1" applyBorder="1" applyAlignment="1">
      <alignment horizontal="centerContinuous"/>
    </xf>
    <xf numFmtId="0" fontId="29" fillId="3" borderId="2" xfId="0" applyFont="1" applyFill="1" applyBorder="1" applyAlignment="1">
      <alignment horizontal="center" vertical="center" wrapText="1"/>
    </xf>
    <xf numFmtId="0" fontId="28" fillId="3" borderId="3" xfId="0" applyFont="1" applyFill="1" applyBorder="1" applyAlignment="1">
      <alignment horizontal="centerContinuous"/>
    </xf>
    <xf numFmtId="0" fontId="28" fillId="3" borderId="4" xfId="0" applyFont="1" applyFill="1" applyBorder="1" applyAlignment="1">
      <alignment horizontal="centerContinuous"/>
    </xf>
    <xf numFmtId="0" fontId="31" fillId="3" borderId="2" xfId="0" applyFont="1" applyFill="1" applyBorder="1" applyAlignment="1">
      <alignment vertical="center" wrapText="1"/>
    </xf>
    <xf numFmtId="0" fontId="30" fillId="3" borderId="26" xfId="0" applyFont="1" applyFill="1" applyBorder="1" applyAlignment="1">
      <alignment vertical="center" wrapText="1"/>
    </xf>
    <xf numFmtId="0" fontId="30" fillId="3" borderId="9" xfId="0" applyFont="1" applyFill="1" applyBorder="1" applyAlignment="1">
      <alignment horizontal="center" vertical="center" wrapText="1"/>
    </xf>
    <xf numFmtId="0" fontId="30" fillId="3" borderId="10" xfId="0" applyFont="1" applyFill="1" applyBorder="1" applyAlignment="1">
      <alignment horizontal="center" vertical="center" wrapText="1"/>
    </xf>
    <xf numFmtId="10" fontId="6" fillId="0" borderId="0" xfId="2" applyNumberFormat="1" applyFont="1"/>
    <xf numFmtId="165" fontId="6" fillId="0" borderId="0" xfId="0" applyNumberFormat="1" applyFont="1"/>
    <xf numFmtId="165" fontId="6" fillId="0" borderId="22" xfId="0" applyNumberFormat="1" applyFont="1" applyBorder="1"/>
    <xf numFmtId="165" fontId="6" fillId="0" borderId="0" xfId="2" applyNumberFormat="1" applyFont="1" applyBorder="1"/>
    <xf numFmtId="165" fontId="16" fillId="0" borderId="0" xfId="0" applyNumberFormat="1" applyFont="1"/>
    <xf numFmtId="165" fontId="22" fillId="0" borderId="23" xfId="0" applyNumberFormat="1" applyFont="1" applyBorder="1"/>
    <xf numFmtId="165" fontId="22" fillId="0" borderId="0" xfId="0" applyNumberFormat="1" applyFont="1"/>
    <xf numFmtId="165" fontId="22" fillId="0" borderId="22" xfId="0" applyNumberFormat="1" applyFont="1" applyBorder="1"/>
    <xf numFmtId="37" fontId="7" fillId="5" borderId="34" xfId="0" applyNumberFormat="1" applyFont="1" applyFill="1" applyBorder="1"/>
    <xf numFmtId="37" fontId="15" fillId="4" borderId="32" xfId="0" applyNumberFormat="1" applyFont="1" applyFill="1" applyBorder="1"/>
    <xf numFmtId="37" fontId="7" fillId="0" borderId="33" xfId="0" applyNumberFormat="1" applyFont="1" applyBorder="1"/>
    <xf numFmtId="0" fontId="6" fillId="0" borderId="35" xfId="0" applyFont="1" applyBorder="1"/>
    <xf numFmtId="10" fontId="6" fillId="0" borderId="35" xfId="0" applyNumberFormat="1" applyFont="1" applyBorder="1"/>
    <xf numFmtId="5" fontId="16" fillId="0" borderId="0" xfId="0" applyNumberFormat="1" applyFont="1"/>
    <xf numFmtId="5" fontId="16" fillId="0" borderId="22" xfId="0" applyNumberFormat="1" applyFont="1" applyBorder="1"/>
    <xf numFmtId="37" fontId="36" fillId="0" borderId="0" xfId="0" applyNumberFormat="1" applyFont="1" applyAlignment="1">
      <alignment horizontal="right" vertical="center"/>
    </xf>
    <xf numFmtId="0" fontId="0" fillId="0" borderId="1" xfId="0" applyBorder="1"/>
    <xf numFmtId="37" fontId="0" fillId="0" borderId="1" xfId="0" applyNumberFormat="1" applyBorder="1"/>
    <xf numFmtId="37" fontId="36" fillId="0" borderId="6" xfId="0" applyNumberFormat="1" applyFont="1" applyBorder="1" applyAlignment="1">
      <alignment horizontal="right" vertical="center"/>
    </xf>
    <xf numFmtId="5" fontId="22" fillId="0" borderId="23" xfId="0" applyNumberFormat="1" applyFont="1" applyBorder="1"/>
    <xf numFmtId="5" fontId="22" fillId="0" borderId="0" xfId="0" applyNumberFormat="1" applyFont="1"/>
    <xf numFmtId="5" fontId="22" fillId="0" borderId="22" xfId="0" applyNumberFormat="1" applyFont="1" applyBorder="1"/>
    <xf numFmtId="37" fontId="7" fillId="0" borderId="4" xfId="0" applyNumberFormat="1" applyFont="1" applyBorder="1"/>
    <xf numFmtId="37" fontId="14" fillId="0" borderId="0" xfId="0" applyNumberFormat="1" applyFont="1" applyAlignment="1">
      <alignment horizontal="right" vertical="center" wrapText="1"/>
    </xf>
    <xf numFmtId="37" fontId="7" fillId="0" borderId="0" xfId="0" applyNumberFormat="1" applyFont="1" applyAlignment="1">
      <alignment horizontal="right"/>
    </xf>
    <xf numFmtId="37" fontId="14" fillId="0" borderId="6" xfId="0" applyNumberFormat="1" applyFont="1" applyBorder="1" applyAlignment="1">
      <alignment horizontal="right" vertical="center" wrapText="1"/>
    </xf>
    <xf numFmtId="37" fontId="35" fillId="0" borderId="0" xfId="1" applyNumberFormat="1" applyFont="1" applyFill="1" applyBorder="1" applyAlignment="1">
      <alignment horizontal="right" vertical="top" wrapText="1"/>
    </xf>
    <xf numFmtId="37" fontId="35" fillId="0" borderId="0" xfId="1" applyNumberFormat="1" applyFont="1" applyAlignment="1">
      <alignment horizontal="right" vertical="top" wrapText="1"/>
    </xf>
    <xf numFmtId="37" fontId="35" fillId="0" borderId="6" xfId="1" applyNumberFormat="1" applyFont="1" applyBorder="1" applyAlignment="1">
      <alignment horizontal="right" vertical="top" wrapText="1"/>
    </xf>
    <xf numFmtId="37" fontId="14" fillId="4" borderId="0" xfId="0" applyNumberFormat="1" applyFont="1" applyFill="1" applyAlignment="1">
      <alignment horizontal="right" vertical="center" wrapText="1"/>
    </xf>
    <xf numFmtId="37" fontId="7" fillId="4" borderId="0" xfId="0" applyNumberFormat="1" applyFont="1" applyFill="1" applyAlignment="1">
      <alignment horizontal="right"/>
    </xf>
    <xf numFmtId="37" fontId="14" fillId="4" borderId="6" xfId="0" applyNumberFormat="1" applyFont="1" applyFill="1" applyBorder="1" applyAlignment="1">
      <alignment horizontal="right" vertical="center" wrapText="1"/>
    </xf>
    <xf numFmtId="10" fontId="6" fillId="0" borderId="23" xfId="0" applyNumberFormat="1" applyFont="1" applyBorder="1"/>
    <xf numFmtId="10" fontId="6" fillId="5" borderId="23" xfId="0" applyNumberFormat="1" applyFont="1" applyFill="1" applyBorder="1"/>
    <xf numFmtId="10" fontId="6" fillId="5" borderId="0" xfId="0" applyNumberFormat="1" applyFont="1" applyFill="1"/>
    <xf numFmtId="10" fontId="6" fillId="5" borderId="22" xfId="0" applyNumberFormat="1" applyFont="1" applyFill="1" applyBorder="1"/>
    <xf numFmtId="37" fontId="37" fillId="0" borderId="0" xfId="1" applyNumberFormat="1" applyFont="1" applyFill="1" applyBorder="1" applyAlignment="1">
      <alignment horizontal="right" vertical="top" wrapText="1"/>
    </xf>
    <xf numFmtId="37" fontId="37" fillId="4" borderId="0" xfId="1" applyNumberFormat="1" applyFont="1" applyFill="1" applyBorder="1" applyAlignment="1">
      <alignment horizontal="right" vertical="top" wrapText="1"/>
    </xf>
    <xf numFmtId="165" fontId="6" fillId="0" borderId="22" xfId="2" applyNumberFormat="1" applyFont="1" applyBorder="1"/>
    <xf numFmtId="0" fontId="0" fillId="0" borderId="5" xfId="0" applyBorder="1"/>
    <xf numFmtId="0" fontId="23" fillId="0" borderId="5" xfId="0" applyFont="1" applyBorder="1"/>
    <xf numFmtId="0" fontId="0" fillId="0" borderId="6" xfId="0" applyBorder="1"/>
    <xf numFmtId="37" fontId="6" fillId="0" borderId="0" xfId="0" applyNumberFormat="1" applyFont="1"/>
    <xf numFmtId="37" fontId="16" fillId="0" borderId="6" xfId="0" applyNumberFormat="1" applyFont="1" applyBorder="1"/>
    <xf numFmtId="37" fontId="0" fillId="0" borderId="6" xfId="0" applyNumberFormat="1" applyBorder="1"/>
    <xf numFmtId="0" fontId="38" fillId="0" borderId="0" xfId="0" applyFont="1"/>
    <xf numFmtId="0" fontId="38" fillId="0" borderId="6" xfId="0" applyFont="1" applyBorder="1"/>
    <xf numFmtId="0" fontId="30" fillId="3" borderId="39" xfId="0" applyFont="1" applyFill="1" applyBorder="1" applyAlignment="1">
      <alignment horizontal="center" vertical="center" wrapText="1"/>
    </xf>
    <xf numFmtId="0" fontId="23" fillId="4" borderId="5" xfId="0" applyFont="1" applyFill="1" applyBorder="1"/>
    <xf numFmtId="0" fontId="0" fillId="4" borderId="6" xfId="0" applyFill="1" applyBorder="1"/>
    <xf numFmtId="0" fontId="23" fillId="4" borderId="30" xfId="0" applyFont="1" applyFill="1" applyBorder="1"/>
    <xf numFmtId="0" fontId="38" fillId="4" borderId="31" xfId="0" applyFont="1" applyFill="1" applyBorder="1"/>
    <xf numFmtId="0" fontId="38" fillId="4" borderId="34" xfId="0" applyFont="1" applyFill="1" applyBorder="1"/>
    <xf numFmtId="0" fontId="23" fillId="4" borderId="27" xfId="0" applyFont="1" applyFill="1" applyBorder="1"/>
    <xf numFmtId="37" fontId="0" fillId="0" borderId="7" xfId="0" applyNumberFormat="1" applyBorder="1"/>
    <xf numFmtId="0" fontId="23" fillId="5" borderId="43" xfId="0" applyFont="1" applyFill="1" applyBorder="1"/>
    <xf numFmtId="0" fontId="23" fillId="5" borderId="45" xfId="0" applyFont="1" applyFill="1" applyBorder="1"/>
    <xf numFmtId="37" fontId="0" fillId="0" borderId="20" xfId="0" applyNumberFormat="1" applyBorder="1"/>
    <xf numFmtId="37" fontId="0" fillId="0" borderId="33" xfId="0" applyNumberFormat="1" applyBorder="1"/>
    <xf numFmtId="0" fontId="23" fillId="5" borderId="30" xfId="0" applyFont="1" applyFill="1" applyBorder="1"/>
    <xf numFmtId="165" fontId="16" fillId="0" borderId="22" xfId="0" applyNumberFormat="1" applyFont="1" applyBorder="1"/>
    <xf numFmtId="37" fontId="39" fillId="0" borderId="0" xfId="1" applyNumberFormat="1" applyFont="1" applyFill="1" applyBorder="1" applyAlignment="1">
      <alignment horizontal="right" vertical="top" wrapText="1"/>
    </xf>
    <xf numFmtId="37" fontId="39" fillId="0" borderId="0" xfId="1" applyNumberFormat="1" applyFont="1" applyAlignment="1">
      <alignment horizontal="right" vertical="top" wrapText="1"/>
    </xf>
    <xf numFmtId="37" fontId="39" fillId="0" borderId="6" xfId="1" applyNumberFormat="1" applyFont="1" applyBorder="1" applyAlignment="1">
      <alignment horizontal="right" vertical="top" wrapText="1"/>
    </xf>
    <xf numFmtId="37" fontId="11" fillId="5" borderId="28" xfId="0" applyNumberFormat="1" applyFont="1" applyFill="1" applyBorder="1" applyAlignment="1">
      <alignment horizontal="right" vertical="center"/>
    </xf>
    <xf numFmtId="37" fontId="11" fillId="5" borderId="32" xfId="0" applyNumberFormat="1" applyFont="1" applyFill="1" applyBorder="1" applyAlignment="1">
      <alignment horizontal="right" vertical="center"/>
    </xf>
    <xf numFmtId="10" fontId="6" fillId="0" borderId="35" xfId="2" applyNumberFormat="1" applyFont="1" applyBorder="1"/>
    <xf numFmtId="37" fontId="39" fillId="0" borderId="0" xfId="1" applyNumberFormat="1" applyFont="1" applyFill="1" applyBorder="1" applyAlignment="1">
      <alignment horizontal="right" vertical="center" wrapText="1"/>
    </xf>
    <xf numFmtId="37" fontId="39" fillId="0" borderId="0" xfId="1" applyNumberFormat="1" applyFont="1" applyAlignment="1">
      <alignment horizontal="right" vertical="center" wrapText="1"/>
    </xf>
    <xf numFmtId="167" fontId="23" fillId="5" borderId="17" xfId="0" applyNumberFormat="1" applyFont="1" applyFill="1" applyBorder="1"/>
    <xf numFmtId="167" fontId="23" fillId="5" borderId="44" xfId="0" applyNumberFormat="1" applyFont="1" applyFill="1" applyBorder="1"/>
    <xf numFmtId="167" fontId="40" fillId="5" borderId="20" xfId="0" applyNumberFormat="1" applyFont="1" applyFill="1" applyBorder="1"/>
    <xf numFmtId="167" fontId="23" fillId="5" borderId="20" xfId="0" applyNumberFormat="1" applyFont="1" applyFill="1" applyBorder="1"/>
    <xf numFmtId="167" fontId="23" fillId="5" borderId="33" xfId="0" applyNumberFormat="1" applyFont="1" applyFill="1" applyBorder="1"/>
    <xf numFmtId="167" fontId="41" fillId="5" borderId="17" xfId="0" applyNumberFormat="1" applyFont="1" applyFill="1" applyBorder="1"/>
    <xf numFmtId="167" fontId="41" fillId="5" borderId="44" xfId="0" applyNumberFormat="1" applyFont="1" applyFill="1" applyBorder="1"/>
    <xf numFmtId="166" fontId="42" fillId="0" borderId="0" xfId="3" applyNumberFormat="1" applyFont="1" applyFill="1" applyBorder="1"/>
    <xf numFmtId="166" fontId="42" fillId="0" borderId="6" xfId="3" applyNumberFormat="1" applyFont="1" applyFill="1" applyBorder="1"/>
    <xf numFmtId="37" fontId="42" fillId="0" borderId="20" xfId="0" applyNumberFormat="1" applyFont="1" applyBorder="1"/>
    <xf numFmtId="37" fontId="42" fillId="0" borderId="33" xfId="0" applyNumberFormat="1" applyFont="1" applyBorder="1"/>
    <xf numFmtId="167" fontId="43" fillId="5" borderId="31" xfId="3" applyNumberFormat="1" applyFont="1" applyFill="1" applyBorder="1" applyAlignment="1">
      <alignment horizontal="right" vertical="center"/>
    </xf>
    <xf numFmtId="167" fontId="43" fillId="5" borderId="34" xfId="3" applyNumberFormat="1" applyFont="1" applyFill="1" applyBorder="1" applyAlignment="1">
      <alignment horizontal="right" vertical="center"/>
    </xf>
    <xf numFmtId="0" fontId="44" fillId="0" borderId="0" xfId="0" applyFont="1"/>
    <xf numFmtId="0" fontId="44" fillId="0" borderId="6" xfId="0" applyFont="1" applyBorder="1"/>
    <xf numFmtId="37" fontId="42" fillId="0" borderId="0" xfId="0" applyNumberFormat="1" applyFont="1"/>
    <xf numFmtId="37" fontId="42" fillId="0" borderId="6" xfId="0" applyNumberFormat="1" applyFont="1" applyBorder="1"/>
    <xf numFmtId="166" fontId="44" fillId="0" borderId="0" xfId="0" applyNumberFormat="1" applyFont="1"/>
    <xf numFmtId="166" fontId="44" fillId="0" borderId="6" xfId="0" applyNumberFormat="1" applyFont="1" applyBorder="1"/>
    <xf numFmtId="166" fontId="44" fillId="0" borderId="33" xfId="0" applyNumberFormat="1" applyFont="1" applyBorder="1"/>
    <xf numFmtId="42" fontId="43" fillId="5" borderId="31" xfId="3" applyNumberFormat="1" applyFont="1" applyFill="1" applyBorder="1" applyAlignment="1">
      <alignment horizontal="right" vertical="center"/>
    </xf>
    <xf numFmtId="166" fontId="43" fillId="5" borderId="31" xfId="3" applyNumberFormat="1" applyFont="1" applyFill="1" applyBorder="1" applyAlignment="1">
      <alignment horizontal="right" vertical="center"/>
    </xf>
    <xf numFmtId="166" fontId="43" fillId="5" borderId="34" xfId="3" applyNumberFormat="1" applyFont="1" applyFill="1" applyBorder="1" applyAlignment="1">
      <alignment horizontal="right" vertical="center"/>
    </xf>
    <xf numFmtId="0" fontId="44" fillId="4" borderId="31" xfId="0" applyFont="1" applyFill="1" applyBorder="1"/>
    <xf numFmtId="0" fontId="44" fillId="4" borderId="34" xfId="0" applyFont="1" applyFill="1" applyBorder="1"/>
    <xf numFmtId="37" fontId="42" fillId="0" borderId="44" xfId="0" applyNumberFormat="1" applyFont="1" applyBorder="1"/>
    <xf numFmtId="5" fontId="43" fillId="5" borderId="31" xfId="3" applyNumberFormat="1" applyFont="1" applyFill="1" applyBorder="1" applyAlignment="1">
      <alignment horizontal="right" vertical="center"/>
    </xf>
    <xf numFmtId="5" fontId="43" fillId="5" borderId="34" xfId="3" applyNumberFormat="1" applyFont="1" applyFill="1" applyBorder="1" applyAlignment="1">
      <alignment horizontal="right" vertical="center"/>
    </xf>
    <xf numFmtId="0" fontId="44" fillId="0" borderId="38" xfId="0" applyFont="1" applyBorder="1"/>
    <xf numFmtId="166" fontId="44" fillId="0" borderId="38" xfId="0" applyNumberFormat="1" applyFont="1" applyBorder="1"/>
    <xf numFmtId="166" fontId="44" fillId="0" borderId="39" xfId="0" applyNumberFormat="1" applyFont="1" applyBorder="1"/>
    <xf numFmtId="42" fontId="43" fillId="4" borderId="28" xfId="3" applyNumberFormat="1" applyFont="1" applyFill="1" applyBorder="1" applyAlignment="1">
      <alignment horizontal="right" vertical="center"/>
    </xf>
    <xf numFmtId="42" fontId="43" fillId="4" borderId="32" xfId="3" applyNumberFormat="1" applyFont="1" applyFill="1" applyBorder="1" applyAlignment="1">
      <alignment horizontal="right" vertical="center"/>
    </xf>
    <xf numFmtId="165" fontId="6" fillId="0" borderId="35" xfId="0" applyNumberFormat="1" applyFont="1" applyBorder="1"/>
    <xf numFmtId="165" fontId="6" fillId="0" borderId="0" xfId="2" applyNumberFormat="1" applyFont="1"/>
    <xf numFmtId="165" fontId="6" fillId="0" borderId="35" xfId="2" applyNumberFormat="1" applyFont="1" applyBorder="1"/>
    <xf numFmtId="37" fontId="7" fillId="0" borderId="34" xfId="0" applyNumberFormat="1" applyFont="1" applyBorder="1"/>
    <xf numFmtId="0" fontId="45" fillId="3" borderId="26" xfId="0" applyFont="1" applyFill="1" applyBorder="1" applyAlignment="1">
      <alignment horizontal="center" vertical="center" wrapText="1"/>
    </xf>
    <xf numFmtId="166" fontId="44" fillId="0" borderId="46" xfId="0" applyNumberFormat="1" applyFont="1" applyBorder="1"/>
    <xf numFmtId="0" fontId="28" fillId="3" borderId="0" xfId="0" applyFont="1" applyFill="1"/>
    <xf numFmtId="0" fontId="28" fillId="4" borderId="17" xfId="0" applyFont="1" applyFill="1" applyBorder="1"/>
    <xf numFmtId="164" fontId="6" fillId="0" borderId="0" xfId="0" applyNumberFormat="1" applyFont="1"/>
    <xf numFmtId="0" fontId="28" fillId="4" borderId="31" xfId="0" applyFont="1" applyFill="1" applyBorder="1"/>
    <xf numFmtId="0" fontId="0" fillId="4" borderId="36" xfId="0" applyFill="1" applyBorder="1"/>
    <xf numFmtId="0" fontId="0" fillId="0" borderId="8" xfId="0" applyBorder="1"/>
    <xf numFmtId="0" fontId="0" fillId="4" borderId="31" xfId="0" applyFill="1" applyBorder="1"/>
    <xf numFmtId="0" fontId="0" fillId="4" borderId="37" xfId="0" applyFill="1" applyBorder="1"/>
    <xf numFmtId="37" fontId="8" fillId="0" borderId="0" xfId="0" applyNumberFormat="1" applyFont="1" applyAlignment="1">
      <alignment horizontal="right" vertical="center"/>
    </xf>
    <xf numFmtId="37" fontId="8" fillId="0" borderId="0" xfId="0" applyNumberFormat="1" applyFont="1" applyAlignment="1">
      <alignment horizontal="right" vertical="center" wrapText="1"/>
    </xf>
    <xf numFmtId="37" fontId="39" fillId="5" borderId="31" xfId="0" applyNumberFormat="1" applyFont="1" applyFill="1" applyBorder="1" applyAlignment="1">
      <alignment horizontal="right" vertical="center"/>
    </xf>
    <xf numFmtId="37" fontId="39" fillId="5" borderId="34" xfId="0" applyNumberFormat="1" applyFont="1" applyFill="1" applyBorder="1" applyAlignment="1">
      <alignment horizontal="right" vertical="center"/>
    </xf>
    <xf numFmtId="37" fontId="46" fillId="4" borderId="28" xfId="0" applyNumberFormat="1" applyFont="1" applyFill="1" applyBorder="1" applyAlignment="1">
      <alignment horizontal="right" vertical="center"/>
    </xf>
    <xf numFmtId="37" fontId="46" fillId="4" borderId="32" xfId="0" applyNumberFormat="1" applyFont="1" applyFill="1" applyBorder="1" applyAlignment="1">
      <alignment horizontal="right" vertical="center"/>
    </xf>
    <xf numFmtId="37" fontId="39" fillId="4" borderId="28" xfId="0" applyNumberFormat="1" applyFont="1" applyFill="1" applyBorder="1" applyAlignment="1">
      <alignment horizontal="right" vertical="center"/>
    </xf>
    <xf numFmtId="37" fontId="39" fillId="4" borderId="29" xfId="0" applyNumberFormat="1" applyFont="1" applyFill="1" applyBorder="1" applyAlignment="1">
      <alignment horizontal="right" vertical="center"/>
    </xf>
    <xf numFmtId="7" fontId="8" fillId="0" borderId="0" xfId="0" applyNumberFormat="1" applyFont="1" applyAlignment="1">
      <alignment horizontal="right" vertical="center"/>
    </xf>
    <xf numFmtId="0" fontId="0" fillId="5" borderId="40" xfId="0" applyFill="1" applyBorder="1"/>
    <xf numFmtId="37" fontId="0" fillId="5" borderId="15" xfId="0" applyNumberFormat="1" applyFill="1" applyBorder="1"/>
    <xf numFmtId="37" fontId="0" fillId="5" borderId="41" xfId="0" applyNumberFormat="1" applyFill="1" applyBorder="1"/>
    <xf numFmtId="0" fontId="0" fillId="4" borderId="5" xfId="0" applyFill="1" applyBorder="1"/>
    <xf numFmtId="37" fontId="23" fillId="5" borderId="40" xfId="0" applyNumberFormat="1" applyFont="1" applyFill="1" applyBorder="1"/>
    <xf numFmtId="37" fontId="23" fillId="5" borderId="15" xfId="0" applyNumberFormat="1" applyFont="1" applyFill="1" applyBorder="1"/>
    <xf numFmtId="0" fontId="23" fillId="4" borderId="40" xfId="0" applyFont="1" applyFill="1" applyBorder="1"/>
    <xf numFmtId="37" fontId="0" fillId="4" borderId="15" xfId="0" applyNumberFormat="1" applyFill="1" applyBorder="1"/>
    <xf numFmtId="37" fontId="0" fillId="4" borderId="41" xfId="0" applyNumberFormat="1" applyFill="1" applyBorder="1"/>
    <xf numFmtId="37" fontId="41" fillId="4" borderId="40" xfId="0" applyNumberFormat="1" applyFont="1" applyFill="1" applyBorder="1"/>
    <xf numFmtId="0" fontId="28" fillId="3" borderId="3" xfId="0" applyFont="1" applyFill="1" applyBorder="1"/>
    <xf numFmtId="0" fontId="28" fillId="3" borderId="5" xfId="0" applyFont="1" applyFill="1" applyBorder="1"/>
    <xf numFmtId="0" fontId="0" fillId="4" borderId="43" xfId="0" applyFill="1" applyBorder="1"/>
    <xf numFmtId="0" fontId="28" fillId="4" borderId="44" xfId="0" applyFont="1" applyFill="1" applyBorder="1"/>
    <xf numFmtId="0" fontId="19" fillId="0" borderId="5" xfId="0" applyFont="1" applyBorder="1"/>
    <xf numFmtId="10" fontId="6" fillId="0" borderId="6" xfId="0" applyNumberFormat="1" applyFont="1" applyBorder="1"/>
    <xf numFmtId="164" fontId="0" fillId="0" borderId="7" xfId="0" applyNumberFormat="1" applyBorder="1"/>
    <xf numFmtId="164" fontId="0" fillId="0" borderId="6" xfId="0" applyNumberFormat="1" applyBorder="1"/>
    <xf numFmtId="17" fontId="23" fillId="0" borderId="5" xfId="0" applyNumberFormat="1" applyFont="1" applyBorder="1"/>
    <xf numFmtId="164" fontId="16" fillId="0" borderId="6" xfId="0" applyNumberFormat="1" applyFont="1" applyBorder="1"/>
    <xf numFmtId="0" fontId="0" fillId="0" borderId="45" xfId="0" applyBorder="1"/>
    <xf numFmtId="0" fontId="0" fillId="4" borderId="30" xfId="0" applyFill="1" applyBorder="1"/>
    <xf numFmtId="0" fontId="28" fillId="4" borderId="34" xfId="0" applyFont="1" applyFill="1" applyBorder="1"/>
    <xf numFmtId="0" fontId="23" fillId="4" borderId="5" xfId="0" applyFont="1" applyFill="1" applyBorder="1" applyAlignment="1">
      <alignment horizontal="center"/>
    </xf>
    <xf numFmtId="0" fontId="19" fillId="0" borderId="8" xfId="0" applyFont="1" applyBorder="1"/>
    <xf numFmtId="0" fontId="48" fillId="0" borderId="0" xfId="0" applyFont="1"/>
    <xf numFmtId="0" fontId="48" fillId="0" borderId="0" xfId="0" applyFont="1" applyAlignment="1">
      <alignment horizontal="right"/>
    </xf>
    <xf numFmtId="3" fontId="1" fillId="0" borderId="50" xfId="0" applyNumberFormat="1" applyFont="1" applyBorder="1"/>
    <xf numFmtId="166" fontId="1" fillId="0" borderId="6" xfId="3" applyNumberFormat="1" applyFont="1" applyBorder="1"/>
    <xf numFmtId="0" fontId="1" fillId="0" borderId="5" xfId="0" applyFont="1" applyBorder="1"/>
    <xf numFmtId="3" fontId="1" fillId="0" borderId="51" xfId="0" applyNumberFormat="1" applyFont="1" applyBorder="1"/>
    <xf numFmtId="0" fontId="54" fillId="8" borderId="5" xfId="0" applyFont="1" applyFill="1" applyBorder="1"/>
    <xf numFmtId="0" fontId="55" fillId="3" borderId="0" xfId="0" applyFont="1" applyFill="1"/>
    <xf numFmtId="0" fontId="56" fillId="3" borderId="0" xfId="0" applyFont="1" applyFill="1"/>
    <xf numFmtId="0" fontId="49" fillId="9" borderId="0" xfId="0" applyFont="1" applyFill="1"/>
    <xf numFmtId="0" fontId="0" fillId="3" borderId="0" xfId="0" applyFill="1"/>
    <xf numFmtId="0" fontId="57" fillId="3" borderId="3" xfId="0" applyFont="1" applyFill="1" applyBorder="1" applyAlignment="1">
      <alignment horizontal="left" vertical="center"/>
    </xf>
    <xf numFmtId="0" fontId="57" fillId="3" borderId="3" xfId="0" applyFont="1" applyFill="1" applyBorder="1" applyAlignment="1">
      <alignment horizontal="center" vertical="center"/>
    </xf>
    <xf numFmtId="0" fontId="28" fillId="3" borderId="0" xfId="0" applyFont="1" applyFill="1" applyAlignment="1">
      <alignment horizontal="center"/>
    </xf>
    <xf numFmtId="0" fontId="28" fillId="3" borderId="6" xfId="0" applyFont="1" applyFill="1" applyBorder="1" applyAlignment="1">
      <alignment horizontal="center"/>
    </xf>
    <xf numFmtId="8" fontId="0" fillId="0" borderId="0" xfId="0" applyNumberFormat="1"/>
    <xf numFmtId="0" fontId="0" fillId="5" borderId="43" xfId="0" applyFill="1" applyBorder="1"/>
    <xf numFmtId="0" fontId="0" fillId="5" borderId="17" xfId="0" applyFill="1" applyBorder="1"/>
    <xf numFmtId="0" fontId="0" fillId="5" borderId="5" xfId="0" applyFill="1" applyBorder="1"/>
    <xf numFmtId="0" fontId="0" fillId="5" borderId="8" xfId="0" applyFill="1" applyBorder="1"/>
    <xf numFmtId="0" fontId="0" fillId="5" borderId="1" xfId="0" applyFill="1" applyBorder="1"/>
    <xf numFmtId="0" fontId="58" fillId="3" borderId="2" xfId="0" applyFont="1" applyFill="1" applyBorder="1" applyAlignment="1">
      <alignment horizontal="left" vertical="center"/>
    </xf>
    <xf numFmtId="0" fontId="50" fillId="8" borderId="2" xfId="0" applyFont="1" applyFill="1" applyBorder="1"/>
    <xf numFmtId="166" fontId="53" fillId="0" borderId="0" xfId="3" applyNumberFormat="1" applyFont="1"/>
    <xf numFmtId="0" fontId="51" fillId="4" borderId="15" xfId="0" applyFont="1" applyFill="1" applyBorder="1" applyAlignment="1">
      <alignment horizontal="center"/>
    </xf>
    <xf numFmtId="0" fontId="51" fillId="4" borderId="41" xfId="0" applyFont="1" applyFill="1" applyBorder="1" applyAlignment="1">
      <alignment horizontal="center"/>
    </xf>
    <xf numFmtId="37" fontId="59" fillId="7" borderId="6" xfId="0" applyNumberFormat="1" applyFont="1" applyFill="1" applyBorder="1"/>
    <xf numFmtId="0" fontId="53" fillId="7" borderId="6" xfId="0" applyFont="1" applyFill="1" applyBorder="1"/>
    <xf numFmtId="166" fontId="53" fillId="0" borderId="6" xfId="3" applyNumberFormat="1" applyFont="1" applyBorder="1"/>
    <xf numFmtId="167" fontId="60" fillId="0" borderId="41" xfId="4" applyNumberFormat="1" applyFont="1" applyBorder="1"/>
    <xf numFmtId="6" fontId="61" fillId="0" borderId="6" xfId="0" applyNumberFormat="1" applyFont="1" applyBorder="1"/>
    <xf numFmtId="0" fontId="50" fillId="8" borderId="0" xfId="0" applyFont="1" applyFill="1"/>
    <xf numFmtId="0" fontId="50" fillId="8" borderId="3" xfId="0" applyFont="1" applyFill="1" applyBorder="1"/>
    <xf numFmtId="8" fontId="61" fillId="0" borderId="51" xfId="0" applyNumberFormat="1" applyFont="1" applyBorder="1"/>
    <xf numFmtId="8" fontId="32" fillId="0" borderId="49" xfId="0" applyNumberFormat="1" applyFont="1" applyBorder="1"/>
    <xf numFmtId="8" fontId="32" fillId="0" borderId="50" xfId="0" applyNumberFormat="1" applyFont="1" applyBorder="1"/>
    <xf numFmtId="0" fontId="0" fillId="0" borderId="0" xfId="0" applyAlignment="1">
      <alignment horizontal="center"/>
    </xf>
    <xf numFmtId="37" fontId="0" fillId="0" borderId="0" xfId="0" applyNumberFormat="1" applyAlignment="1">
      <alignment horizontal="right"/>
    </xf>
    <xf numFmtId="8" fontId="0" fillId="0" borderId="0" xfId="0" applyNumberFormat="1" applyAlignment="1">
      <alignment horizontal="right"/>
    </xf>
    <xf numFmtId="0" fontId="6" fillId="0" borderId="0" xfId="0" applyFont="1" applyAlignment="1">
      <alignment horizontal="right"/>
    </xf>
    <xf numFmtId="37" fontId="6" fillId="0" borderId="0" xfId="0" applyNumberFormat="1" applyFont="1" applyAlignment="1">
      <alignment horizontal="right"/>
    </xf>
    <xf numFmtId="37" fontId="22" fillId="0" borderId="0" xfId="0" applyNumberFormat="1" applyFont="1" applyAlignment="1">
      <alignment horizontal="center"/>
    </xf>
    <xf numFmtId="168" fontId="23" fillId="0" borderId="0" xfId="0" applyNumberFormat="1" applyFont="1" applyAlignment="1">
      <alignment horizontal="right"/>
    </xf>
    <xf numFmtId="168" fontId="23" fillId="0" borderId="6" xfId="0" applyNumberFormat="1" applyFont="1" applyBorder="1" applyAlignment="1">
      <alignment horizontal="right"/>
    </xf>
    <xf numFmtId="168" fontId="23" fillId="0" borderId="0" xfId="0" applyNumberFormat="1" applyFont="1"/>
    <xf numFmtId="170" fontId="23" fillId="0" borderId="6" xfId="0" applyNumberFormat="1" applyFont="1" applyBorder="1"/>
    <xf numFmtId="169" fontId="23" fillId="0" borderId="6" xfId="0" applyNumberFormat="1" applyFont="1" applyBorder="1"/>
    <xf numFmtId="168" fontId="23" fillId="5" borderId="17" xfId="0" applyNumberFormat="1" applyFont="1" applyFill="1" applyBorder="1"/>
    <xf numFmtId="168" fontId="23" fillId="5" borderId="44" xfId="0" applyNumberFormat="1" applyFont="1" applyFill="1" applyBorder="1"/>
    <xf numFmtId="168" fontId="23" fillId="5" borderId="0" xfId="0" applyNumberFormat="1" applyFont="1" applyFill="1"/>
    <xf numFmtId="168" fontId="23" fillId="5" borderId="6" xfId="0" applyNumberFormat="1" applyFont="1" applyFill="1" applyBorder="1"/>
    <xf numFmtId="168" fontId="23" fillId="5" borderId="1" xfId="0" applyNumberFormat="1" applyFont="1" applyFill="1" applyBorder="1"/>
    <xf numFmtId="168" fontId="23" fillId="5" borderId="7" xfId="0" applyNumberFormat="1" applyFont="1" applyFill="1" applyBorder="1"/>
    <xf numFmtId="39" fontId="53" fillId="0" borderId="0" xfId="0" applyNumberFormat="1" applyFont="1"/>
    <xf numFmtId="4" fontId="53" fillId="0" borderId="0" xfId="0" applyNumberFormat="1" applyFont="1"/>
    <xf numFmtId="4" fontId="6" fillId="0" borderId="1" xfId="0" applyNumberFormat="1" applyFont="1" applyBorder="1"/>
    <xf numFmtId="3" fontId="53" fillId="0" borderId="0" xfId="0" applyNumberFormat="1" applyFont="1"/>
    <xf numFmtId="0" fontId="53" fillId="0" borderId="0" xfId="0" applyFont="1"/>
    <xf numFmtId="3" fontId="6" fillId="0" borderId="1" xfId="0" applyNumberFormat="1" applyFont="1" applyBorder="1"/>
    <xf numFmtId="3" fontId="53" fillId="0" borderId="50" xfId="0" applyNumberFormat="1" applyFont="1" applyBorder="1"/>
    <xf numFmtId="6" fontId="53" fillId="0" borderId="6" xfId="0" applyNumberFormat="1" applyFont="1" applyBorder="1"/>
    <xf numFmtId="164" fontId="52" fillId="0" borderId="41" xfId="4" applyNumberFormat="1" applyFont="1" applyBorder="1"/>
    <xf numFmtId="3" fontId="53" fillId="0" borderId="49" xfId="0" applyNumberFormat="1" applyFont="1" applyBorder="1"/>
    <xf numFmtId="6" fontId="53" fillId="0" borderId="49" xfId="0" applyNumberFormat="1" applyFont="1" applyBorder="1"/>
    <xf numFmtId="3" fontId="61" fillId="0" borderId="50" xfId="0" applyNumberFormat="1" applyFont="1" applyBorder="1"/>
    <xf numFmtId="0" fontId="28" fillId="0" borderId="5" xfId="0" applyFont="1" applyBorder="1"/>
    <xf numFmtId="0" fontId="28" fillId="0" borderId="0" xfId="0" applyFont="1"/>
    <xf numFmtId="0" fontId="22" fillId="0" borderId="5" xfId="0" applyFont="1" applyBorder="1"/>
    <xf numFmtId="0" fontId="22" fillId="0" borderId="0" xfId="0" applyFont="1"/>
    <xf numFmtId="0" fontId="63" fillId="0" borderId="0" xfId="0" applyFont="1" applyAlignment="1">
      <alignment horizontal="center" vertical="center" wrapText="1"/>
    </xf>
    <xf numFmtId="0" fontId="63" fillId="0" borderId="6" xfId="0" applyFont="1" applyBorder="1" applyAlignment="1">
      <alignment horizontal="center" vertical="center" wrapText="1"/>
    </xf>
    <xf numFmtId="0" fontId="65" fillId="0" borderId="0" xfId="0" applyFont="1" applyAlignment="1">
      <alignment horizontal="center" vertical="center" wrapText="1"/>
    </xf>
    <xf numFmtId="10" fontId="64" fillId="0" borderId="0" xfId="0" applyNumberFormat="1" applyFont="1" applyAlignment="1">
      <alignment horizontal="center" vertical="center" wrapText="1"/>
    </xf>
    <xf numFmtId="37" fontId="63" fillId="0" borderId="0" xfId="0" applyNumberFormat="1" applyFont="1" applyAlignment="1">
      <alignment horizontal="center" vertical="center" wrapText="1"/>
    </xf>
    <xf numFmtId="37" fontId="65" fillId="0" borderId="0" xfId="0" applyNumberFormat="1" applyFont="1" applyAlignment="1">
      <alignment horizontal="center" vertical="center" wrapText="1"/>
    </xf>
    <xf numFmtId="37" fontId="65" fillId="0" borderId="6" xfId="0" applyNumberFormat="1" applyFont="1" applyBorder="1" applyAlignment="1">
      <alignment horizontal="center" vertical="center" wrapText="1"/>
    </xf>
    <xf numFmtId="37" fontId="63" fillId="0" borderId="6" xfId="0" applyNumberFormat="1" applyFont="1" applyBorder="1" applyAlignment="1">
      <alignment horizontal="center" vertical="center" wrapText="1"/>
    </xf>
    <xf numFmtId="0" fontId="69" fillId="0" borderId="23" xfId="0" applyFont="1" applyBorder="1"/>
    <xf numFmtId="37" fontId="22" fillId="0" borderId="0" xfId="0" applyNumberFormat="1" applyFont="1"/>
    <xf numFmtId="0" fontId="6" fillId="0" borderId="1" xfId="0" applyFont="1" applyBorder="1"/>
    <xf numFmtId="0" fontId="6" fillId="0" borderId="7" xfId="0" applyFont="1" applyBorder="1"/>
    <xf numFmtId="0" fontId="0" fillId="0" borderId="19" xfId="0" applyBorder="1"/>
    <xf numFmtId="0" fontId="28" fillId="3" borderId="31" xfId="0" applyFont="1" applyFill="1" applyBorder="1"/>
    <xf numFmtId="0" fontId="28" fillId="3" borderId="37" xfId="0" applyFont="1" applyFill="1" applyBorder="1"/>
    <xf numFmtId="0" fontId="63" fillId="0" borderId="3" xfId="0" applyFont="1" applyBorder="1" applyAlignment="1">
      <alignment horizontal="center" vertical="center" wrapText="1"/>
    </xf>
    <xf numFmtId="0" fontId="63" fillId="0" borderId="4" xfId="0" applyFont="1" applyBorder="1" applyAlignment="1">
      <alignment horizontal="center" vertical="center" wrapText="1"/>
    </xf>
    <xf numFmtId="0" fontId="64" fillId="0" borderId="3" xfId="0" applyFont="1" applyBorder="1" applyAlignment="1">
      <alignment horizontal="center" vertical="center" wrapText="1"/>
    </xf>
    <xf numFmtId="37" fontId="63" fillId="0" borderId="3" xfId="0" applyNumberFormat="1" applyFont="1" applyBorder="1" applyAlignment="1">
      <alignment horizontal="center" vertical="center" wrapText="1"/>
    </xf>
    <xf numFmtId="37" fontId="63" fillId="0" borderId="4" xfId="0" applyNumberFormat="1" applyFont="1" applyBorder="1" applyAlignment="1">
      <alignment horizontal="center" vertical="center" wrapText="1"/>
    </xf>
    <xf numFmtId="0" fontId="23" fillId="0" borderId="23" xfId="0" applyFont="1" applyBorder="1"/>
    <xf numFmtId="0" fontId="62" fillId="3" borderId="18" xfId="0" applyFont="1" applyFill="1" applyBorder="1" applyAlignment="1">
      <alignment horizontal="centerContinuous"/>
    </xf>
    <xf numFmtId="0" fontId="23" fillId="4" borderId="19" xfId="0" applyFont="1" applyFill="1" applyBorder="1"/>
    <xf numFmtId="37" fontId="71" fillId="4" borderId="15" xfId="0" applyNumberFormat="1" applyFont="1" applyFill="1" applyBorder="1"/>
    <xf numFmtId="10" fontId="64" fillId="0" borderId="6" xfId="0" applyNumberFormat="1" applyFont="1" applyBorder="1" applyAlignment="1">
      <alignment horizontal="center" vertical="center" wrapText="1"/>
    </xf>
    <xf numFmtId="0" fontId="23" fillId="0" borderId="19" xfId="0" applyFont="1" applyBorder="1"/>
    <xf numFmtId="0" fontId="40" fillId="0" borderId="22" xfId="0" applyFont="1" applyBorder="1"/>
    <xf numFmtId="3" fontId="16" fillId="0" borderId="31" xfId="0" applyNumberFormat="1" applyFont="1" applyBorder="1" applyAlignment="1">
      <alignment horizontal="center"/>
    </xf>
    <xf numFmtId="3" fontId="0" fillId="0" borderId="31" xfId="0" applyNumberFormat="1" applyBorder="1" applyAlignment="1">
      <alignment horizontal="center"/>
    </xf>
    <xf numFmtId="0" fontId="6" fillId="0" borderId="31" xfId="0" applyFont="1" applyBorder="1" applyAlignment="1">
      <alignment horizontal="center"/>
    </xf>
    <xf numFmtId="0" fontId="62" fillId="3" borderId="31" xfId="0" applyFont="1" applyFill="1" applyBorder="1" applyAlignment="1">
      <alignment horizontal="center"/>
    </xf>
    <xf numFmtId="0" fontId="62" fillId="3" borderId="37" xfId="0" applyFont="1" applyFill="1" applyBorder="1" applyAlignment="1">
      <alignment horizontal="center"/>
    </xf>
    <xf numFmtId="0" fontId="62" fillId="3" borderId="40" xfId="0" applyFont="1" applyFill="1" applyBorder="1"/>
    <xf numFmtId="0" fontId="62" fillId="3" borderId="36" xfId="0" applyFont="1" applyFill="1" applyBorder="1"/>
    <xf numFmtId="0" fontId="62" fillId="3" borderId="37" xfId="0" applyFont="1" applyFill="1" applyBorder="1"/>
    <xf numFmtId="172" fontId="62" fillId="3" borderId="36" xfId="0" applyNumberFormat="1" applyFont="1" applyFill="1" applyBorder="1" applyAlignment="1">
      <alignment horizontal="center"/>
    </xf>
    <xf numFmtId="0" fontId="62" fillId="3" borderId="2" xfId="0" applyFont="1" applyFill="1" applyBorder="1"/>
    <xf numFmtId="0" fontId="62" fillId="3" borderId="3" xfId="0" applyFont="1" applyFill="1" applyBorder="1"/>
    <xf numFmtId="0" fontId="7" fillId="0" borderId="40" xfId="0" applyFont="1" applyBorder="1"/>
    <xf numFmtId="0" fontId="0" fillId="0" borderId="15" xfId="0" applyBorder="1"/>
    <xf numFmtId="37" fontId="0" fillId="0" borderId="15" xfId="0" applyNumberFormat="1" applyBorder="1"/>
    <xf numFmtId="10" fontId="0" fillId="0" borderId="41" xfId="0" applyNumberFormat="1" applyBorder="1"/>
    <xf numFmtId="0" fontId="62" fillId="3" borderId="15" xfId="0" applyFont="1" applyFill="1" applyBorder="1"/>
    <xf numFmtId="0" fontId="62" fillId="3" borderId="41" xfId="0" applyFont="1" applyFill="1" applyBorder="1"/>
    <xf numFmtId="172" fontId="62" fillId="3" borderId="31" xfId="0" applyNumberFormat="1" applyFont="1" applyFill="1" applyBorder="1" applyAlignment="1">
      <alignment horizontal="center"/>
    </xf>
    <xf numFmtId="10" fontId="0" fillId="0" borderId="19" xfId="0" applyNumberFormat="1" applyBorder="1" applyAlignment="1">
      <alignment horizontal="center"/>
    </xf>
    <xf numFmtId="10" fontId="16" fillId="0" borderId="31" xfId="0" applyNumberFormat="1" applyFont="1" applyBorder="1" applyAlignment="1">
      <alignment horizontal="center"/>
    </xf>
    <xf numFmtId="37" fontId="23" fillId="4" borderId="21" xfId="0" applyNumberFormat="1" applyFont="1" applyFill="1" applyBorder="1"/>
    <xf numFmtId="10" fontId="68" fillId="0" borderId="0" xfId="0" applyNumberFormat="1" applyFont="1" applyAlignment="1">
      <alignment wrapText="1"/>
    </xf>
    <xf numFmtId="37" fontId="68" fillId="0" borderId="0" xfId="0" applyNumberFormat="1" applyFont="1" applyAlignment="1">
      <alignment wrapText="1"/>
    </xf>
    <xf numFmtId="0" fontId="69" fillId="0" borderId="0" xfId="0" applyFont="1"/>
    <xf numFmtId="174" fontId="72" fillId="0" borderId="0" xfId="0" applyNumberFormat="1" applyFont="1" applyAlignment="1">
      <alignment horizontal="center" vertical="center"/>
    </xf>
    <xf numFmtId="0" fontId="73" fillId="0" borderId="0" xfId="0" applyFont="1"/>
    <xf numFmtId="37" fontId="73" fillId="0" borderId="0" xfId="0" applyNumberFormat="1" applyFont="1"/>
    <xf numFmtId="0" fontId="62" fillId="3" borderId="36" xfId="0" applyFont="1" applyFill="1" applyBorder="1" applyAlignment="1">
      <alignment horizontal="centerContinuous"/>
    </xf>
    <xf numFmtId="0" fontId="28" fillId="3" borderId="37" xfId="0" applyFont="1" applyFill="1" applyBorder="1" applyAlignment="1">
      <alignment horizontal="centerContinuous"/>
    </xf>
    <xf numFmtId="0" fontId="0" fillId="0" borderId="16" xfId="0" applyBorder="1"/>
    <xf numFmtId="5" fontId="16" fillId="0" borderId="18" xfId="0" applyNumberFormat="1" applyFont="1" applyBorder="1" applyAlignment="1">
      <alignment horizontal="right"/>
    </xf>
    <xf numFmtId="175" fontId="16" fillId="0" borderId="22" xfId="0" applyNumberFormat="1" applyFont="1" applyBorder="1" applyAlignment="1">
      <alignment horizontal="right"/>
    </xf>
    <xf numFmtId="5" fontId="23" fillId="0" borderId="21" xfId="0" applyNumberFormat="1" applyFont="1" applyBorder="1" applyAlignment="1">
      <alignment horizontal="right"/>
    </xf>
    <xf numFmtId="5" fontId="0" fillId="0" borderId="22" xfId="0" applyNumberFormat="1" applyBorder="1"/>
    <xf numFmtId="10" fontId="0" fillId="0" borderId="21" xfId="0" applyNumberFormat="1" applyBorder="1"/>
    <xf numFmtId="10" fontId="0" fillId="0" borderId="20" xfId="0" applyNumberFormat="1" applyBorder="1"/>
    <xf numFmtId="0" fontId="0" fillId="0" borderId="21" xfId="0" applyBorder="1"/>
    <xf numFmtId="0" fontId="66" fillId="3" borderId="16" xfId="0" applyFont="1" applyFill="1" applyBorder="1" applyAlignment="1">
      <alignment horizontal="left" vertical="center"/>
    </xf>
    <xf numFmtId="0" fontId="66" fillId="3" borderId="17" xfId="0" applyFont="1" applyFill="1" applyBorder="1" applyAlignment="1">
      <alignment horizontal="centerContinuous" vertical="center"/>
    </xf>
    <xf numFmtId="0" fontId="73" fillId="0" borderId="23" xfId="0" applyFont="1" applyBorder="1"/>
    <xf numFmtId="37" fontId="73" fillId="0" borderId="22" xfId="0" applyNumberFormat="1" applyFont="1" applyBorder="1"/>
    <xf numFmtId="37" fontId="23" fillId="0" borderId="20" xfId="0" applyNumberFormat="1" applyFont="1" applyBorder="1"/>
    <xf numFmtId="37" fontId="23" fillId="0" borderId="21" xfId="0" applyNumberFormat="1" applyFont="1" applyBorder="1"/>
    <xf numFmtId="0" fontId="0" fillId="0" borderId="52" xfId="0" applyBorder="1"/>
    <xf numFmtId="0" fontId="66" fillId="3" borderId="16" xfId="0" applyFont="1" applyFill="1" applyBorder="1" applyAlignment="1">
      <alignment horizontal="centerContinuous" vertical="center"/>
    </xf>
    <xf numFmtId="0" fontId="67" fillId="3" borderId="19" xfId="0" applyFont="1" applyFill="1" applyBorder="1" applyAlignment="1">
      <alignment horizontal="left" vertical="center"/>
    </xf>
    <xf numFmtId="173" fontId="66" fillId="3" borderId="20" xfId="0" applyNumberFormat="1" applyFont="1" applyFill="1" applyBorder="1" applyAlignment="1">
      <alignment horizontal="center" vertical="center"/>
    </xf>
    <xf numFmtId="174" fontId="66" fillId="3" borderId="20" xfId="0" applyNumberFormat="1" applyFont="1" applyFill="1" applyBorder="1" applyAlignment="1">
      <alignment horizontal="center" vertical="center"/>
    </xf>
    <xf numFmtId="174" fontId="66" fillId="3" borderId="21" xfId="0" applyNumberFormat="1" applyFont="1" applyFill="1" applyBorder="1" applyAlignment="1">
      <alignment horizontal="center" vertical="center"/>
    </xf>
    <xf numFmtId="173" fontId="66" fillId="3" borderId="31" xfId="0" applyNumberFormat="1" applyFont="1" applyFill="1" applyBorder="1" applyAlignment="1">
      <alignment horizontal="center" vertical="center"/>
    </xf>
    <xf numFmtId="174" fontId="66" fillId="3" borderId="31" xfId="0" applyNumberFormat="1" applyFont="1" applyFill="1" applyBorder="1" applyAlignment="1">
      <alignment horizontal="center" vertical="center"/>
    </xf>
    <xf numFmtId="174" fontId="66" fillId="3" borderId="37" xfId="0" applyNumberFormat="1" applyFont="1" applyFill="1" applyBorder="1" applyAlignment="1">
      <alignment horizontal="center" vertical="center"/>
    </xf>
    <xf numFmtId="0" fontId="0" fillId="0" borderId="23" xfId="0" quotePrefix="1" applyBorder="1"/>
    <xf numFmtId="0" fontId="73" fillId="0" borderId="23" xfId="0" quotePrefix="1" applyFont="1" applyBorder="1"/>
    <xf numFmtId="5" fontId="77" fillId="0" borderId="22" xfId="0" applyNumberFormat="1" applyFont="1" applyBorder="1"/>
    <xf numFmtId="0" fontId="23" fillId="0" borderId="14" xfId="0" applyFont="1" applyBorder="1" applyAlignment="1">
      <alignment horizontal="center"/>
    </xf>
    <xf numFmtId="0" fontId="23" fillId="0" borderId="36" xfId="0" applyFont="1" applyBorder="1"/>
    <xf numFmtId="0" fontId="23" fillId="4" borderId="36" xfId="0" applyFont="1" applyFill="1" applyBorder="1"/>
    <xf numFmtId="37" fontId="69" fillId="4" borderId="31" xfId="0" applyNumberFormat="1" applyFont="1" applyFill="1" applyBorder="1"/>
    <xf numFmtId="37" fontId="69" fillId="4" borderId="37" xfId="0" applyNumberFormat="1" applyFont="1" applyFill="1" applyBorder="1"/>
    <xf numFmtId="0" fontId="0" fillId="5" borderId="23" xfId="0" applyFill="1" applyBorder="1"/>
    <xf numFmtId="2" fontId="0" fillId="5" borderId="0" xfId="0" applyNumberFormat="1" applyFill="1"/>
    <xf numFmtId="0" fontId="69" fillId="5" borderId="20" xfId="0" applyFont="1" applyFill="1" applyBorder="1"/>
    <xf numFmtId="5" fontId="69" fillId="5" borderId="20" xfId="0" applyNumberFormat="1" applyFont="1" applyFill="1" applyBorder="1"/>
    <xf numFmtId="0" fontId="0" fillId="5" borderId="20" xfId="0" applyFill="1" applyBorder="1"/>
    <xf numFmtId="0" fontId="23" fillId="5" borderId="23" xfId="0" applyFont="1" applyFill="1" applyBorder="1"/>
    <xf numFmtId="0" fontId="70" fillId="5" borderId="19" xfId="0" applyFont="1" applyFill="1" applyBorder="1"/>
    <xf numFmtId="0" fontId="62" fillId="3" borderId="16" xfId="0" applyFont="1" applyFill="1" applyBorder="1"/>
    <xf numFmtId="0" fontId="23" fillId="0" borderId="0" xfId="0" applyFont="1"/>
    <xf numFmtId="0" fontId="0" fillId="6" borderId="0" xfId="0" applyFill="1"/>
    <xf numFmtId="0" fontId="62" fillId="6" borderId="0" xfId="0" applyFont="1" applyFill="1" applyAlignment="1">
      <alignment horizontal="centerContinuous"/>
    </xf>
    <xf numFmtId="0" fontId="62" fillId="6" borderId="0" xfId="0" applyFont="1" applyFill="1"/>
    <xf numFmtId="172" fontId="23" fillId="0" borderId="35" xfId="0" applyNumberFormat="1" applyFont="1" applyBorder="1"/>
    <xf numFmtId="2" fontId="73" fillId="0" borderId="53" xfId="0" applyNumberFormat="1" applyFont="1" applyBorder="1"/>
    <xf numFmtId="7" fontId="0" fillId="5" borderId="0" xfId="0" applyNumberFormat="1" applyFill="1"/>
    <xf numFmtId="2" fontId="0" fillId="0" borderId="0" xfId="0" applyNumberFormat="1"/>
    <xf numFmtId="7" fontId="0" fillId="5" borderId="35" xfId="0" applyNumberFormat="1" applyFill="1" applyBorder="1"/>
    <xf numFmtId="7" fontId="0" fillId="0" borderId="22" xfId="0" applyNumberFormat="1" applyBorder="1"/>
    <xf numFmtId="37" fontId="77" fillId="0" borderId="22" xfId="0" applyNumberFormat="1" applyFont="1" applyBorder="1"/>
    <xf numFmtId="1" fontId="77" fillId="0" borderId="22" xfId="0" applyNumberFormat="1" applyFont="1" applyBorder="1"/>
    <xf numFmtId="0" fontId="74" fillId="6" borderId="0" xfId="0" applyFont="1" applyFill="1" applyAlignment="1">
      <alignment horizontal="centerContinuous" vertical="center"/>
    </xf>
    <xf numFmtId="5" fontId="0" fillId="6" borderId="0" xfId="0" applyNumberFormat="1" applyFill="1"/>
    <xf numFmtId="6" fontId="0" fillId="6" borderId="0" xfId="0" applyNumberFormat="1" applyFill="1"/>
    <xf numFmtId="37" fontId="0" fillId="6" borderId="0" xfId="0" applyNumberFormat="1" applyFill="1"/>
    <xf numFmtId="37" fontId="75" fillId="6" borderId="0" xfId="0" applyNumberFormat="1" applyFont="1" applyFill="1"/>
    <xf numFmtId="1" fontId="0" fillId="6" borderId="0" xfId="0" applyNumberFormat="1" applyFill="1"/>
    <xf numFmtId="0" fontId="76" fillId="6" borderId="0" xfId="0" applyFont="1" applyFill="1"/>
    <xf numFmtId="10" fontId="76" fillId="6" borderId="0" xfId="0" applyNumberFormat="1" applyFont="1" applyFill="1"/>
    <xf numFmtId="37" fontId="16" fillId="0" borderId="0" xfId="0" applyNumberFormat="1" applyFont="1" applyAlignment="1">
      <alignment wrapText="1"/>
    </xf>
    <xf numFmtId="37" fontId="78" fillId="0" borderId="0" xfId="0" applyNumberFormat="1" applyFont="1" applyAlignment="1">
      <alignment wrapText="1"/>
    </xf>
    <xf numFmtId="171" fontId="0" fillId="0" borderId="0" xfId="0" applyNumberFormat="1"/>
    <xf numFmtId="5" fontId="23" fillId="0" borderId="0" xfId="0" applyNumberFormat="1" applyFont="1"/>
    <xf numFmtId="0" fontId="62" fillId="0" borderId="0" xfId="0" applyFont="1" applyAlignment="1">
      <alignment horizontal="centerContinuous" vertical="center"/>
    </xf>
    <xf numFmtId="3" fontId="6" fillId="0" borderId="0" xfId="0" applyNumberFormat="1" applyFont="1"/>
    <xf numFmtId="39" fontId="6" fillId="0" borderId="0" xfId="0" applyNumberFormat="1" applyFont="1"/>
    <xf numFmtId="10" fontId="0" fillId="0" borderId="31" xfId="0" applyNumberFormat="1" applyBorder="1"/>
    <xf numFmtId="168" fontId="16" fillId="0" borderId="21" xfId="0" applyNumberFormat="1" applyFont="1" applyBorder="1"/>
    <xf numFmtId="0" fontId="66" fillId="3" borderId="19" xfId="0" applyFont="1" applyFill="1" applyBorder="1" applyAlignment="1">
      <alignment horizontal="centerContinuous" vertical="center"/>
    </xf>
    <xf numFmtId="176" fontId="79" fillId="6" borderId="0" xfId="0" applyNumberFormat="1" applyFont="1" applyFill="1" applyAlignment="1">
      <alignment horizontal="right"/>
    </xf>
    <xf numFmtId="177" fontId="79" fillId="6" borderId="0" xfId="0" applyNumberFormat="1" applyFont="1" applyFill="1" applyAlignment="1">
      <alignment horizontal="right"/>
    </xf>
    <xf numFmtId="178" fontId="79" fillId="6" borderId="0" xfId="0" applyNumberFormat="1" applyFont="1" applyFill="1" applyAlignment="1">
      <alignment horizontal="right"/>
    </xf>
    <xf numFmtId="179" fontId="79" fillId="6" borderId="0" xfId="0" applyNumberFormat="1" applyFont="1" applyFill="1" applyAlignment="1">
      <alignment horizontal="right"/>
    </xf>
    <xf numFmtId="180" fontId="79" fillId="6" borderId="0" xfId="0" applyNumberFormat="1" applyFont="1" applyFill="1" applyAlignment="1">
      <alignment horizontal="right"/>
    </xf>
    <xf numFmtId="181" fontId="79" fillId="6" borderId="0" xfId="0" applyNumberFormat="1" applyFont="1" applyFill="1" applyAlignment="1">
      <alignment horizontal="right"/>
    </xf>
    <xf numFmtId="182" fontId="79" fillId="6" borderId="0" xfId="0" applyNumberFormat="1" applyFont="1" applyFill="1" applyAlignment="1">
      <alignment horizontal="right"/>
    </xf>
    <xf numFmtId="183" fontId="79" fillId="6" borderId="0" xfId="0" applyNumberFormat="1" applyFont="1" applyFill="1" applyAlignment="1">
      <alignment horizontal="right"/>
    </xf>
    <xf numFmtId="184" fontId="79" fillId="6" borderId="0" xfId="0" applyNumberFormat="1" applyFont="1" applyFill="1" applyAlignment="1">
      <alignment horizontal="right"/>
    </xf>
    <xf numFmtId="185" fontId="79" fillId="6" borderId="0" xfId="0" applyNumberFormat="1" applyFont="1" applyFill="1" applyAlignment="1">
      <alignment horizontal="right"/>
    </xf>
    <xf numFmtId="0" fontId="62" fillId="3" borderId="17" xfId="0" applyFont="1" applyFill="1" applyBorder="1" applyAlignment="1">
      <alignment horizontal="centerContinuous"/>
    </xf>
    <xf numFmtId="0" fontId="62" fillId="3" borderId="9" xfId="0" applyFont="1" applyFill="1" applyBorder="1" applyAlignment="1">
      <alignment horizontal="center"/>
    </xf>
    <xf numFmtId="0" fontId="62" fillId="3" borderId="24" xfId="0" applyFont="1" applyFill="1" applyBorder="1" applyAlignment="1">
      <alignment horizontal="center"/>
    </xf>
    <xf numFmtId="0" fontId="62" fillId="3" borderId="25" xfId="0" applyFont="1" applyFill="1" applyBorder="1" applyAlignment="1">
      <alignment horizontal="center"/>
    </xf>
    <xf numFmtId="0" fontId="62" fillId="3" borderId="16" xfId="0" applyFont="1" applyFill="1" applyBorder="1" applyAlignment="1">
      <alignment horizontal="centerContinuous"/>
    </xf>
    <xf numFmtId="0" fontId="62" fillId="3" borderId="25" xfId="0" applyFont="1" applyFill="1" applyBorder="1"/>
    <xf numFmtId="0" fontId="62" fillId="3" borderId="2" xfId="0" applyFont="1" applyFill="1" applyBorder="1" applyAlignment="1">
      <alignment horizontal="center"/>
    </xf>
    <xf numFmtId="0" fontId="62" fillId="3" borderId="3" xfId="0" applyFont="1" applyFill="1" applyBorder="1" applyAlignment="1">
      <alignment horizontal="centerContinuous"/>
    </xf>
    <xf numFmtId="0" fontId="62" fillId="3" borderId="4" xfId="0" applyFont="1" applyFill="1" applyBorder="1" applyAlignment="1">
      <alignment horizontal="centerContinuous"/>
    </xf>
    <xf numFmtId="0" fontId="62" fillId="3" borderId="5" xfId="0" applyFont="1" applyFill="1" applyBorder="1" applyAlignment="1">
      <alignment horizontal="center"/>
    </xf>
    <xf numFmtId="0" fontId="62" fillId="3" borderId="10" xfId="0" applyFont="1" applyFill="1" applyBorder="1" applyAlignment="1">
      <alignment horizontal="center"/>
    </xf>
    <xf numFmtId="0" fontId="62" fillId="3" borderId="5" xfId="0" applyFont="1" applyFill="1" applyBorder="1" applyAlignment="1">
      <alignment horizontal="centerContinuous"/>
    </xf>
    <xf numFmtId="0" fontId="30" fillId="3" borderId="47" xfId="0" applyFont="1" applyFill="1" applyBorder="1" applyAlignment="1">
      <alignment horizontal="center" vertical="center" wrapText="1"/>
    </xf>
    <xf numFmtId="0" fontId="30" fillId="3" borderId="38" xfId="0" applyFont="1" applyFill="1" applyBorder="1" applyAlignment="1">
      <alignment horizontal="center" vertical="center" wrapText="1"/>
    </xf>
    <xf numFmtId="0" fontId="30" fillId="3" borderId="42" xfId="0" applyFont="1" applyFill="1" applyBorder="1" applyAlignment="1">
      <alignment horizontal="center" vertical="center" wrapText="1"/>
    </xf>
    <xf numFmtId="0" fontId="62" fillId="3" borderId="5" xfId="0" applyFont="1" applyFill="1" applyBorder="1"/>
    <xf numFmtId="0" fontId="62" fillId="3" borderId="0" xfId="0" applyFont="1" applyFill="1"/>
    <xf numFmtId="0" fontId="80" fillId="4" borderId="23" xfId="0" applyFont="1" applyFill="1" applyBorder="1"/>
    <xf numFmtId="0" fontId="0" fillId="4" borderId="22" xfId="0" applyFill="1" applyBorder="1"/>
    <xf numFmtId="0" fontId="0" fillId="4" borderId="23" xfId="0" applyFill="1" applyBorder="1"/>
    <xf numFmtId="0" fontId="0" fillId="4" borderId="11" xfId="0" applyFill="1" applyBorder="1" applyAlignment="1">
      <alignment horizontal="center"/>
    </xf>
    <xf numFmtId="0" fontId="0" fillId="4" borderId="23" xfId="0" applyFill="1" applyBorder="1" applyAlignment="1">
      <alignment horizontal="centerContinuous"/>
    </xf>
    <xf numFmtId="0" fontId="0" fillId="4" borderId="0" xfId="0" applyFill="1" applyAlignment="1">
      <alignment horizontal="centerContinuous"/>
    </xf>
    <xf numFmtId="0" fontId="0" fillId="4" borderId="22" xfId="0" applyFill="1" applyBorder="1" applyAlignment="1">
      <alignment horizontal="centerContinuous"/>
    </xf>
    <xf numFmtId="10" fontId="0" fillId="0" borderId="23" xfId="0" applyNumberFormat="1" applyBorder="1"/>
    <xf numFmtId="0" fontId="0" fillId="0" borderId="12" xfId="0" applyBorder="1"/>
    <xf numFmtId="165" fontId="0" fillId="0" borderId="0" xfId="0" applyNumberFormat="1"/>
    <xf numFmtId="0" fontId="0" fillId="0" borderId="13" xfId="0" applyBorder="1"/>
    <xf numFmtId="0" fontId="0" fillId="0" borderId="14" xfId="0" applyBorder="1"/>
    <xf numFmtId="165" fontId="0" fillId="0" borderId="22" xfId="0" applyNumberFormat="1" applyBorder="1"/>
    <xf numFmtId="165" fontId="0" fillId="0" borderId="23" xfId="0" applyNumberFormat="1" applyBorder="1"/>
    <xf numFmtId="0" fontId="80" fillId="0" borderId="23" xfId="0" applyFont="1" applyBorder="1"/>
    <xf numFmtId="37" fontId="0" fillId="0" borderId="23" xfId="0" applyNumberFormat="1" applyBorder="1"/>
    <xf numFmtId="0" fontId="0" fillId="5" borderId="22" xfId="0" applyFill="1" applyBorder="1"/>
    <xf numFmtId="10" fontId="0" fillId="5" borderId="0" xfId="0" applyNumberFormat="1" applyFill="1"/>
    <xf numFmtId="10" fontId="0" fillId="5" borderId="22" xfId="0" applyNumberFormat="1" applyFill="1" applyBorder="1"/>
    <xf numFmtId="37" fontId="0" fillId="0" borderId="19" xfId="0" applyNumberFormat="1" applyBorder="1"/>
    <xf numFmtId="37" fontId="0" fillId="0" borderId="21" xfId="0" applyNumberFormat="1" applyBorder="1"/>
    <xf numFmtId="5" fontId="47" fillId="0" borderId="0" xfId="0" applyNumberFormat="1" applyFont="1" applyAlignment="1">
      <alignment horizontal="right" vertical="center" wrapText="1"/>
    </xf>
    <xf numFmtId="5" fontId="8" fillId="0" borderId="0" xfId="0" applyNumberFormat="1" applyFont="1" applyAlignment="1">
      <alignment horizontal="right" vertical="center" wrapText="1"/>
    </xf>
    <xf numFmtId="5" fontId="8" fillId="0" borderId="0" xfId="0" applyNumberFormat="1" applyFont="1" applyAlignment="1">
      <alignment horizontal="right" vertical="center"/>
    </xf>
    <xf numFmtId="7" fontId="8" fillId="0" borderId="1" xfId="0" applyNumberFormat="1" applyFont="1" applyBorder="1" applyAlignment="1">
      <alignment horizontal="right" vertical="center"/>
    </xf>
    <xf numFmtId="0" fontId="0" fillId="0" borderId="0" xfId="0" applyAlignment="1">
      <alignment vertical="center"/>
    </xf>
    <xf numFmtId="0" fontId="81" fillId="4" borderId="0" xfId="0" applyFont="1" applyFill="1" applyAlignment="1">
      <alignment vertical="center"/>
    </xf>
    <xf numFmtId="0" fontId="82" fillId="4" borderId="0" xfId="0" applyFont="1" applyFill="1" applyAlignment="1">
      <alignment vertical="center"/>
    </xf>
    <xf numFmtId="0" fontId="83" fillId="4" borderId="0" xfId="0" applyFont="1" applyFill="1" applyAlignment="1">
      <alignment vertical="center"/>
    </xf>
    <xf numFmtId="0" fontId="28" fillId="4" borderId="0" xfId="0" applyFont="1" applyFill="1"/>
    <xf numFmtId="0" fontId="0" fillId="3" borderId="0" xfId="0" applyFill="1" applyAlignment="1">
      <alignment vertical="center"/>
    </xf>
    <xf numFmtId="0" fontId="81" fillId="3" borderId="0" xfId="0" applyFont="1" applyFill="1" applyAlignment="1">
      <alignment vertical="center"/>
    </xf>
    <xf numFmtId="0" fontId="83" fillId="3" borderId="0" xfId="0" applyFont="1" applyFill="1" applyAlignment="1">
      <alignment vertical="center"/>
    </xf>
    <xf numFmtId="0" fontId="81" fillId="3" borderId="54" xfId="0" applyFont="1" applyFill="1" applyBorder="1" applyAlignment="1">
      <alignment vertical="center"/>
    </xf>
    <xf numFmtId="0" fontId="83" fillId="3" borderId="54" xfId="0" applyFont="1" applyFill="1" applyBorder="1" applyAlignment="1">
      <alignment vertical="center"/>
    </xf>
    <xf numFmtId="0" fontId="84" fillId="3" borderId="0" xfId="0" applyFont="1" applyFill="1"/>
    <xf numFmtId="0" fontId="85" fillId="3" borderId="0" xfId="0" applyFont="1" applyFill="1"/>
    <xf numFmtId="0" fontId="85" fillId="3" borderId="0" xfId="0" applyFont="1" applyFill="1" applyAlignment="1">
      <alignment horizontal="right"/>
    </xf>
    <xf numFmtId="7" fontId="84" fillId="3" borderId="0" xfId="0" applyNumberFormat="1" applyFont="1" applyFill="1"/>
    <xf numFmtId="0" fontId="86" fillId="3" borderId="0" xfId="0" applyFont="1" applyFill="1"/>
    <xf numFmtId="0" fontId="84" fillId="3" borderId="55" xfId="0" applyFont="1" applyFill="1" applyBorder="1"/>
    <xf numFmtId="0" fontId="84" fillId="3" borderId="0" xfId="0" applyFont="1" applyFill="1" applyAlignment="1">
      <alignment horizontal="right"/>
    </xf>
    <xf numFmtId="0" fontId="85" fillId="3" borderId="0" xfId="0" applyFont="1" applyFill="1" applyAlignment="1">
      <alignment horizontal="right" vertical="center"/>
    </xf>
    <xf numFmtId="8" fontId="84" fillId="3" borderId="0" xfId="0" applyNumberFormat="1" applyFont="1" applyFill="1" applyAlignment="1">
      <alignment horizontal="right"/>
    </xf>
    <xf numFmtId="7" fontId="84" fillId="3" borderId="0" xfId="0" applyNumberFormat="1" applyFont="1" applyFill="1" applyAlignment="1">
      <alignment horizontal="right"/>
    </xf>
    <xf numFmtId="37" fontId="84" fillId="3" borderId="0" xfId="0" applyNumberFormat="1" applyFont="1" applyFill="1" applyAlignment="1">
      <alignment horizontal="right"/>
    </xf>
    <xf numFmtId="44" fontId="84" fillId="3" borderId="0" xfId="4" applyFont="1" applyFill="1" applyAlignment="1">
      <alignment horizontal="right"/>
    </xf>
    <xf numFmtId="5" fontId="84" fillId="3" borderId="0" xfId="0" applyNumberFormat="1" applyFont="1" applyFill="1" applyAlignment="1">
      <alignment horizontal="right"/>
    </xf>
    <xf numFmtId="170" fontId="84" fillId="3" borderId="0" xfId="0" applyNumberFormat="1" applyFont="1" applyFill="1" applyAlignment="1">
      <alignment horizontal="right"/>
    </xf>
    <xf numFmtId="0" fontId="87" fillId="3" borderId="0" xfId="0" applyFont="1" applyFill="1" applyAlignment="1">
      <alignment horizontal="left" indent="1"/>
    </xf>
    <xf numFmtId="0" fontId="84" fillId="6" borderId="0" xfId="0" applyFont="1" applyFill="1"/>
    <xf numFmtId="0" fontId="87" fillId="6" borderId="0" xfId="0" applyFont="1" applyFill="1" applyAlignment="1">
      <alignment horizontal="left" indent="1"/>
    </xf>
    <xf numFmtId="10" fontId="84" fillId="3" borderId="0" xfId="0" applyNumberFormat="1" applyFont="1" applyFill="1"/>
    <xf numFmtId="10" fontId="88" fillId="0" borderId="35" xfId="0" applyNumberFormat="1" applyFont="1" applyBorder="1"/>
    <xf numFmtId="10" fontId="77" fillId="0" borderId="22" xfId="0" applyNumberFormat="1" applyFont="1" applyBorder="1"/>
    <xf numFmtId="7" fontId="0" fillId="0" borderId="0" xfId="0" applyNumberFormat="1"/>
    <xf numFmtId="43" fontId="0" fillId="0" borderId="22" xfId="0" applyNumberFormat="1" applyBorder="1"/>
    <xf numFmtId="43" fontId="0" fillId="0" borderId="18" xfId="3" applyFont="1" applyBorder="1"/>
    <xf numFmtId="37" fontId="0" fillId="0" borderId="18" xfId="0" applyNumberFormat="1" applyBorder="1"/>
    <xf numFmtId="10" fontId="0" fillId="0" borderId="37" xfId="0" applyNumberFormat="1" applyBorder="1"/>
    <xf numFmtId="186" fontId="84" fillId="3" borderId="0" xfId="0" applyNumberFormat="1" applyFont="1" applyFill="1" applyAlignment="1">
      <alignment horizontal="right"/>
    </xf>
    <xf numFmtId="7" fontId="8" fillId="0" borderId="7" xfId="0" applyNumberFormat="1" applyFont="1" applyBorder="1" applyAlignment="1">
      <alignment horizontal="right" vertical="center"/>
    </xf>
    <xf numFmtId="37" fontId="22" fillId="4" borderId="15" xfId="0" applyNumberFormat="1" applyFont="1" applyFill="1" applyBorder="1"/>
    <xf numFmtId="7" fontId="39" fillId="0" borderId="0" xfId="0" applyNumberFormat="1" applyFont="1" applyAlignment="1">
      <alignment horizontal="right" vertical="center"/>
    </xf>
    <xf numFmtId="7" fontId="39" fillId="0" borderId="6" xfId="0" applyNumberFormat="1" applyFont="1" applyBorder="1" applyAlignment="1">
      <alignment horizontal="right" vertical="center"/>
    </xf>
    <xf numFmtId="10" fontId="0" fillId="0" borderId="20" xfId="2" applyNumberFormat="1" applyFont="1" applyBorder="1" applyAlignment="1">
      <alignment horizontal="center"/>
    </xf>
    <xf numFmtId="10" fontId="6" fillId="0" borderId="31" xfId="0" applyNumberFormat="1" applyFont="1" applyBorder="1" applyAlignment="1">
      <alignment horizontal="center"/>
    </xf>
    <xf numFmtId="10" fontId="6" fillId="0" borderId="37" xfId="2" applyNumberFormat="1" applyFont="1" applyBorder="1" applyAlignment="1">
      <alignment horizontal="center"/>
    </xf>
    <xf numFmtId="10" fontId="6" fillId="0" borderId="31" xfId="2" applyNumberFormat="1" applyFont="1" applyBorder="1" applyAlignment="1">
      <alignment horizontal="center"/>
    </xf>
    <xf numFmtId="0" fontId="0" fillId="0" borderId="0" xfId="0" applyAlignment="1">
      <alignment horizontal="right"/>
    </xf>
    <xf numFmtId="41" fontId="0" fillId="0" borderId="18" xfId="3" applyNumberFormat="1" applyFont="1" applyBorder="1"/>
    <xf numFmtId="2" fontId="73" fillId="0" borderId="56" xfId="0" applyNumberFormat="1" applyFont="1" applyBorder="1"/>
    <xf numFmtId="37" fontId="69" fillId="4" borderId="21" xfId="0" applyNumberFormat="1" applyFont="1" applyFill="1" applyBorder="1"/>
    <xf numFmtId="9" fontId="16" fillId="0" borderId="22" xfId="0" applyNumberFormat="1" applyFont="1" applyBorder="1"/>
    <xf numFmtId="37" fontId="16" fillId="0" borderId="31" xfId="3" applyNumberFormat="1" applyFont="1" applyBorder="1" applyAlignment="1">
      <alignment horizontal="center"/>
    </xf>
    <xf numFmtId="172" fontId="16" fillId="0" borderId="0" xfId="0" applyNumberFormat="1" applyFont="1"/>
    <xf numFmtId="10" fontId="16" fillId="0" borderId="35" xfId="0" applyNumberFormat="1" applyFont="1" applyBorder="1"/>
    <xf numFmtId="42" fontId="0" fillId="0" borderId="21" xfId="0" applyNumberFormat="1" applyBorder="1"/>
    <xf numFmtId="7" fontId="0" fillId="5" borderId="21" xfId="0" applyNumberFormat="1" applyFill="1" applyBorder="1"/>
    <xf numFmtId="37" fontId="4" fillId="0" borderId="0" xfId="1" applyNumberFormat="1" applyFill="1" applyBorder="1" applyAlignment="1">
      <alignment horizontal="left" vertical="top" wrapText="1"/>
    </xf>
    <xf numFmtId="0" fontId="28" fillId="0" borderId="0" xfId="0" applyFont="1" applyAlignment="1">
      <alignment horizontal="centerContinuous"/>
    </xf>
    <xf numFmtId="174" fontId="66" fillId="0" borderId="0" xfId="0" applyNumberFormat="1" applyFont="1" applyAlignment="1">
      <alignment horizontal="center" vertical="center"/>
    </xf>
    <xf numFmtId="37" fontId="23" fillId="0" borderId="0" xfId="0" applyNumberFormat="1" applyFont="1"/>
    <xf numFmtId="37" fontId="69" fillId="0" borderId="0" xfId="0" applyNumberFormat="1" applyFont="1"/>
    <xf numFmtId="10" fontId="88" fillId="0" borderId="0" xfId="0" applyNumberFormat="1" applyFont="1"/>
    <xf numFmtId="172" fontId="23" fillId="0" borderId="0" xfId="0" applyNumberFormat="1" applyFont="1"/>
    <xf numFmtId="2" fontId="73" fillId="0" borderId="0" xfId="0" applyNumberFormat="1" applyFont="1"/>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2" fillId="9" borderId="0" xfId="0" applyFont="1" applyFill="1"/>
    <xf numFmtId="0" fontId="50" fillId="8" borderId="4" xfId="0" applyFont="1" applyFill="1" applyBorder="1"/>
    <xf numFmtId="0" fontId="50" fillId="8" borderId="6" xfId="0" applyFont="1" applyFill="1" applyBorder="1"/>
    <xf numFmtId="0" fontId="32" fillId="4" borderId="40" xfId="0" applyFont="1" applyFill="1" applyBorder="1"/>
    <xf numFmtId="0" fontId="32" fillId="0" borderId="5" xfId="0" applyFont="1" applyBorder="1"/>
    <xf numFmtId="0" fontId="52" fillId="0" borderId="5" xfId="0" applyFont="1" applyBorder="1"/>
    <xf numFmtId="167" fontId="52" fillId="0" borderId="4" xfId="3" applyNumberFormat="1" applyFont="1" applyBorder="1"/>
    <xf numFmtId="166" fontId="52" fillId="0" borderId="6" xfId="3" applyNumberFormat="1" applyFont="1" applyBorder="1"/>
    <xf numFmtId="0" fontId="32" fillId="0" borderId="3" xfId="0" applyFont="1" applyBorder="1"/>
    <xf numFmtId="166" fontId="32" fillId="0" borderId="3" xfId="3" applyNumberFormat="1" applyFont="1" applyBorder="1"/>
    <xf numFmtId="0" fontId="50" fillId="0" borderId="5" xfId="0" applyFont="1" applyBorder="1"/>
    <xf numFmtId="0" fontId="32" fillId="7" borderId="48" xfId="0" applyFont="1" applyFill="1" applyBorder="1"/>
    <xf numFmtId="6" fontId="32" fillId="0" borderId="50" xfId="0" applyNumberFormat="1" applyFont="1" applyBorder="1"/>
    <xf numFmtId="0" fontId="52" fillId="0" borderId="8" xfId="0" applyFont="1" applyBorder="1"/>
    <xf numFmtId="167" fontId="52" fillId="0" borderId="41" xfId="4" applyNumberFormat="1" applyFont="1" applyBorder="1"/>
    <xf numFmtId="0" fontId="32" fillId="0" borderId="0" xfId="0" applyFont="1"/>
    <xf numFmtId="3" fontId="53" fillId="0" borderId="15" xfId="0" applyNumberFormat="1" applyFont="1" applyBorder="1"/>
    <xf numFmtId="0" fontId="32" fillId="4" borderId="15" xfId="0" applyFont="1" applyFill="1" applyBorder="1" applyAlignment="1">
      <alignment horizontal="center"/>
    </xf>
    <xf numFmtId="0" fontId="52" fillId="4" borderId="15" xfId="0" applyFont="1" applyFill="1" applyBorder="1" applyAlignment="1">
      <alignment horizontal="center"/>
    </xf>
    <xf numFmtId="0" fontId="52" fillId="4" borderId="41" xfId="0" applyFont="1" applyFill="1" applyBorder="1" applyAlignment="1">
      <alignment horizontal="center"/>
    </xf>
    <xf numFmtId="9" fontId="16" fillId="0" borderId="0" xfId="0" applyNumberFormat="1" applyFont="1"/>
    <xf numFmtId="0" fontId="0" fillId="0" borderId="17" xfId="0" applyBorder="1" applyAlignment="1">
      <alignment horizontal="centerContinuous"/>
    </xf>
    <xf numFmtId="5" fontId="0" fillId="0" borderId="0" xfId="0" applyNumberFormat="1"/>
    <xf numFmtId="5" fontId="0" fillId="0" borderId="20" xfId="0" applyNumberFormat="1" applyBorder="1"/>
    <xf numFmtId="5" fontId="0" fillId="0" borderId="21" xfId="0" applyNumberFormat="1" applyBorder="1"/>
    <xf numFmtId="0" fontId="0" fillId="0" borderId="23" xfId="0" applyBorder="1" applyAlignment="1">
      <alignment horizontal="center"/>
    </xf>
    <xf numFmtId="173" fontId="66" fillId="3" borderId="17" xfId="0" applyNumberFormat="1" applyFont="1" applyFill="1" applyBorder="1" applyAlignment="1">
      <alignment horizontal="center" vertical="center"/>
    </xf>
    <xf numFmtId="174" fontId="66" fillId="3" borderId="17" xfId="0" applyNumberFormat="1" applyFont="1" applyFill="1" applyBorder="1" applyAlignment="1">
      <alignment horizontal="center" vertical="center"/>
    </xf>
    <xf numFmtId="174" fontId="66" fillId="3" borderId="18" xfId="0" applyNumberFormat="1" applyFont="1" applyFill="1" applyBorder="1" applyAlignment="1">
      <alignment horizontal="center" vertical="center"/>
    </xf>
    <xf numFmtId="0" fontId="69" fillId="0" borderId="16" xfId="0" applyFont="1" applyBorder="1"/>
    <xf numFmtId="37" fontId="16" fillId="0" borderId="17" xfId="0" applyNumberFormat="1" applyFont="1" applyBorder="1"/>
    <xf numFmtId="37" fontId="16" fillId="0" borderId="18" xfId="0" applyNumberFormat="1" applyFont="1" applyBorder="1"/>
    <xf numFmtId="187" fontId="0" fillId="0" borderId="22" xfId="0" applyNumberFormat="1" applyBorder="1"/>
    <xf numFmtId="43" fontId="0" fillId="0" borderId="23" xfId="0" applyNumberFormat="1" applyBorder="1"/>
    <xf numFmtId="39" fontId="0" fillId="0" borderId="22" xfId="0" applyNumberFormat="1" applyBorder="1"/>
    <xf numFmtId="5" fontId="41" fillId="0" borderId="11" xfId="0" applyNumberFormat="1" applyFont="1" applyBorder="1"/>
    <xf numFmtId="0" fontId="0" fillId="0" borderId="17" xfId="0" applyBorder="1"/>
    <xf numFmtId="0" fontId="0" fillId="0" borderId="18" xfId="0" applyBorder="1" applyAlignment="1">
      <alignment horizontal="centerContinuous"/>
    </xf>
    <xf numFmtId="42" fontId="0" fillId="0" borderId="0" xfId="0" applyNumberFormat="1"/>
    <xf numFmtId="187" fontId="0" fillId="0" borderId="0" xfId="0" applyNumberFormat="1" applyAlignment="1">
      <alignment horizontal="right"/>
    </xf>
    <xf numFmtId="187" fontId="0" fillId="0" borderId="22" xfId="0" applyNumberFormat="1" applyBorder="1" applyAlignment="1">
      <alignment horizontal="right"/>
    </xf>
    <xf numFmtId="5" fontId="22" fillId="0" borderId="20" xfId="0" applyNumberFormat="1" applyFont="1" applyBorder="1"/>
    <xf numFmtId="5" fontId="22" fillId="0" borderId="21" xfId="0" applyNumberFormat="1" applyFont="1" applyBorder="1"/>
    <xf numFmtId="5" fontId="0" fillId="0" borderId="11" xfId="0" applyNumberFormat="1" applyBorder="1"/>
    <xf numFmtId="0" fontId="89" fillId="6" borderId="0" xfId="1" applyFont="1" applyFill="1" applyAlignment="1">
      <alignment horizontal="left"/>
    </xf>
    <xf numFmtId="37" fontId="10" fillId="0" borderId="33" xfId="0" applyNumberFormat="1" applyFont="1" applyBorder="1" applyAlignment="1">
      <alignment horizontal="right" vertical="center"/>
    </xf>
    <xf numFmtId="9" fontId="23" fillId="5" borderId="20" xfId="2" applyFont="1" applyFill="1" applyBorder="1"/>
    <xf numFmtId="9" fontId="23" fillId="5" borderId="21" xfId="2" applyFont="1" applyFill="1" applyBorder="1"/>
    <xf numFmtId="0" fontId="0" fillId="4" borderId="34" xfId="0" applyFill="1" applyBorder="1"/>
    <xf numFmtId="37" fontId="22" fillId="0" borderId="6" xfId="0" applyNumberFormat="1" applyFont="1" applyBorder="1"/>
    <xf numFmtId="37" fontId="23" fillId="5" borderId="41" xfId="0" applyNumberFormat="1" applyFont="1" applyFill="1" applyBorder="1"/>
    <xf numFmtId="0" fontId="65" fillId="0" borderId="6" xfId="0" applyFont="1" applyBorder="1" applyAlignment="1">
      <alignment horizontal="center" vertical="center" wrapText="1"/>
    </xf>
    <xf numFmtId="0" fontId="64" fillId="0" borderId="0" xfId="0" applyFont="1" applyAlignment="1">
      <alignment horizontal="center" vertical="center" wrapText="1"/>
    </xf>
    <xf numFmtId="0" fontId="64" fillId="0" borderId="6" xfId="0" applyFont="1" applyBorder="1" applyAlignment="1">
      <alignment horizontal="center" vertical="center" wrapText="1"/>
    </xf>
    <xf numFmtId="10" fontId="0" fillId="0" borderId="0" xfId="2" applyNumberFormat="1" applyFont="1"/>
    <xf numFmtId="37" fontId="3" fillId="0" borderId="0" xfId="0" applyNumberFormat="1" applyFont="1" applyAlignment="1">
      <alignment vertical="center" wrapText="1"/>
    </xf>
    <xf numFmtId="37" fontId="39" fillId="0" borderId="6" xfId="1" applyNumberFormat="1" applyFont="1" applyFill="1" applyBorder="1" applyAlignment="1">
      <alignment horizontal="right" vertical="top" wrapText="1"/>
    </xf>
    <xf numFmtId="37" fontId="35" fillId="0" borderId="0" xfId="0" applyNumberFormat="1" applyFont="1"/>
    <xf numFmtId="3" fontId="90" fillId="0" borderId="0" xfId="0" applyNumberFormat="1" applyFont="1" applyAlignment="1">
      <alignment vertical="center"/>
    </xf>
    <xf numFmtId="37" fontId="91" fillId="0" borderId="0" xfId="0" applyNumberFormat="1" applyFont="1" applyAlignment="1">
      <alignment horizontal="right" vertical="center"/>
    </xf>
    <xf numFmtId="37" fontId="92" fillId="0" borderId="6" xfId="0" applyNumberFormat="1" applyFont="1" applyBorder="1" applyAlignment="1">
      <alignment horizontal="right" vertical="center" wrapText="1"/>
    </xf>
    <xf numFmtId="37" fontId="92" fillId="0" borderId="0" xfId="0" applyNumberFormat="1" applyFont="1" applyAlignment="1">
      <alignment horizontal="right" vertical="center" wrapText="1"/>
    </xf>
    <xf numFmtId="37" fontId="37" fillId="0" borderId="0" xfId="1" applyNumberFormat="1" applyFont="1" applyAlignment="1">
      <alignment horizontal="right" vertical="top" wrapText="1"/>
    </xf>
    <xf numFmtId="37" fontId="35" fillId="0" borderId="0" xfId="1" applyNumberFormat="1" applyFont="1" applyAlignment="1">
      <alignment horizontal="right" vertical="center" wrapText="1"/>
    </xf>
    <xf numFmtId="37" fontId="35" fillId="0" borderId="0" xfId="1" applyNumberFormat="1" applyFont="1" applyFill="1" applyBorder="1" applyAlignment="1">
      <alignment horizontal="right" vertical="center" wrapText="1"/>
    </xf>
    <xf numFmtId="37" fontId="35" fillId="0" borderId="0" xfId="0" applyNumberFormat="1" applyFont="1" applyAlignment="1">
      <alignment horizontal="right" vertical="center"/>
    </xf>
    <xf numFmtId="37" fontId="35" fillId="0" borderId="6" xfId="0" applyNumberFormat="1" applyFont="1" applyBorder="1" applyAlignment="1">
      <alignment horizontal="right" vertical="center"/>
    </xf>
    <xf numFmtId="37" fontId="35" fillId="0" borderId="35" xfId="0" applyNumberFormat="1" applyFont="1" applyBorder="1"/>
    <xf numFmtId="0" fontId="62" fillId="0" borderId="0" xfId="0" applyFont="1" applyAlignment="1">
      <alignment horizontal="center"/>
    </xf>
    <xf numFmtId="0" fontId="15" fillId="0" borderId="0" xfId="0" applyFont="1"/>
    <xf numFmtId="37" fontId="15" fillId="0" borderId="0" xfId="0" applyNumberFormat="1" applyFont="1"/>
    <xf numFmtId="37" fontId="6" fillId="0" borderId="6" xfId="0" applyNumberFormat="1" applyFont="1" applyBorder="1"/>
    <xf numFmtId="3" fontId="0" fillId="0" borderId="22" xfId="0" applyNumberFormat="1" applyBorder="1"/>
    <xf numFmtId="0" fontId="93" fillId="0" borderId="0" xfId="0" applyFont="1"/>
    <xf numFmtId="0" fontId="93" fillId="0" borderId="20" xfId="0" applyFont="1" applyBorder="1"/>
    <xf numFmtId="0" fontId="23" fillId="5" borderId="11" xfId="0" applyFont="1" applyFill="1" applyBorder="1" applyAlignment="1">
      <alignment horizontal="center"/>
    </xf>
    <xf numFmtId="0" fontId="0" fillId="2" borderId="0" xfId="0" applyFill="1" applyAlignment="1">
      <alignment vertical="top" wrapText="1"/>
    </xf>
  </cellXfs>
  <cellStyles count="5">
    <cellStyle name="Comma" xfId="3" builtinId="3"/>
    <cellStyle name="Currency" xfId="4" builtinId="4"/>
    <cellStyle name="Hyperlink" xfId="1" builtinId="8"/>
    <cellStyle name="Normal" xfId="0" builtinId="0"/>
    <cellStyle name="Percent" xfId="2" builtinId="5"/>
  </cellStyles>
  <dxfs count="0"/>
  <tableStyles count="0" defaultTableStyle="TableStyleMedium2" defaultPivotStyle="PivotStyleLight16"/>
  <colors>
    <mruColors>
      <color rgb="FFBFE4BA"/>
      <color rgb="FF1A0E6B"/>
      <color rgb="FF0982C6"/>
      <color rgb="FF56B948"/>
      <color rgb="FF0BA0F3"/>
      <color rgb="FF45D8A6"/>
      <color rgb="FF1A33D6"/>
      <color rgb="FF2BADF5"/>
      <color rgb="FFF897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167640</xdr:colOff>
      <xdr:row>0</xdr:row>
      <xdr:rowOff>45720</xdr:rowOff>
    </xdr:from>
    <xdr:to>
      <xdr:col>2</xdr:col>
      <xdr:colOff>487680</xdr:colOff>
      <xdr:row>6</xdr:row>
      <xdr:rowOff>35258</xdr:rowOff>
    </xdr:to>
    <xdr:pic>
      <xdr:nvPicPr>
        <xdr:cNvPr id="3" name="Picture 2" descr="Home">
          <a:extLst>
            <a:ext uri="{FF2B5EF4-FFF2-40B4-BE49-F238E27FC236}">
              <a16:creationId xmlns:a16="http://schemas.microsoft.com/office/drawing/2014/main" id="{6BD81C57-717D-E24A-E5C0-23E6169BE5A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079" t="18642" r="14510" b="15449"/>
        <a:stretch>
          <a:fillRect/>
        </a:stretch>
      </xdr:blipFill>
      <xdr:spPr bwMode="auto">
        <a:xfrm>
          <a:off x="777240" y="45720"/>
          <a:ext cx="1943100" cy="1086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37960</xdr:colOff>
      <xdr:row>44</xdr:row>
      <xdr:rowOff>30447</xdr:rowOff>
    </xdr:from>
    <xdr:to>
      <xdr:col>5</xdr:col>
      <xdr:colOff>247</xdr:colOff>
      <xdr:row>49</xdr:row>
      <xdr:rowOff>187158</xdr:rowOff>
    </xdr:to>
    <xdr:pic>
      <xdr:nvPicPr>
        <xdr:cNvPr id="35" name="Picture 3">
          <a:extLst>
            <a:ext uri="{FF2B5EF4-FFF2-40B4-BE49-F238E27FC236}">
              <a16:creationId xmlns:a16="http://schemas.microsoft.com/office/drawing/2014/main" id="{08BDF3C6-380B-A5E0-2BDC-1D0E90B9357C}"/>
            </a:ext>
          </a:extLst>
        </xdr:cNvPr>
        <xdr:cNvPicPr>
          <a:picLocks noChangeAspect="1"/>
        </xdr:cNvPicPr>
      </xdr:nvPicPr>
      <xdr:blipFill>
        <a:blip xmlns:r="http://schemas.openxmlformats.org/officeDocument/2006/relationships" r:embed="rId1"/>
        <a:stretch>
          <a:fillRect/>
        </a:stretch>
      </xdr:blipFill>
      <xdr:spPr>
        <a:xfrm>
          <a:off x="773223" y="9147710"/>
          <a:ext cx="3786491" cy="11593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268F-5CB0-436D-927C-2E987B27C9AE}">
  <dimension ref="B7:C17"/>
  <sheetViews>
    <sheetView showGridLines="0" workbookViewId="0"/>
  </sheetViews>
  <sheetFormatPr baseColWidth="10" defaultColWidth="8.5" defaultRowHeight="15" x14ac:dyDescent="0.2"/>
  <cols>
    <col min="2" max="2" width="23.5" bestFit="1" customWidth="1"/>
  </cols>
  <sheetData>
    <row r="7" spans="2:3" ht="18" x14ac:dyDescent="0.2">
      <c r="B7" s="247" t="s">
        <v>0</v>
      </c>
      <c r="C7" s="248" t="s">
        <v>1</v>
      </c>
    </row>
    <row r="8" spans="2:3" ht="16" x14ac:dyDescent="0.2">
      <c r="B8" s="601" t="s">
        <v>2</v>
      </c>
      <c r="C8" s="441">
        <f>Assumptions!A1</f>
        <v>0</v>
      </c>
    </row>
    <row r="9" spans="2:3" ht="16" x14ac:dyDescent="0.2">
      <c r="B9" s="601" t="s">
        <v>3</v>
      </c>
      <c r="C9" s="442">
        <f>Calcs!A1</f>
        <v>0</v>
      </c>
    </row>
    <row r="10" spans="2:3" ht="16" x14ac:dyDescent="0.2">
      <c r="B10" s="601" t="s">
        <v>4</v>
      </c>
      <c r="C10" s="443">
        <f>'Income Statement'!A1</f>
        <v>0</v>
      </c>
    </row>
    <row r="11" spans="2:3" ht="16" x14ac:dyDescent="0.2">
      <c r="B11" s="601" t="s">
        <v>5</v>
      </c>
      <c r="C11" s="444">
        <f>'Balance Sheet'!A1</f>
        <v>0</v>
      </c>
    </row>
    <row r="12" spans="2:3" ht="16" x14ac:dyDescent="0.2">
      <c r="B12" s="601" t="s">
        <v>6</v>
      </c>
      <c r="C12" s="445">
        <f>'Cash Flow Statement'!A1</f>
        <v>0</v>
      </c>
    </row>
    <row r="13" spans="2:3" ht="16" x14ac:dyDescent="0.2">
      <c r="B13" s="601" t="s">
        <v>7</v>
      </c>
      <c r="C13" s="446">
        <f>'Debt Schedule'!A1</f>
        <v>0</v>
      </c>
    </row>
    <row r="14" spans="2:3" ht="16" x14ac:dyDescent="0.2">
      <c r="B14" s="601" t="s">
        <v>8</v>
      </c>
      <c r="C14" s="447">
        <f>LTMS!A3</f>
        <v>0</v>
      </c>
    </row>
    <row r="15" spans="2:3" ht="16" x14ac:dyDescent="0.2">
      <c r="B15" s="601" t="s">
        <v>9</v>
      </c>
      <c r="C15" s="448">
        <f>Comps!A1</f>
        <v>0</v>
      </c>
    </row>
    <row r="16" spans="2:3" ht="16" x14ac:dyDescent="0.2">
      <c r="B16" s="601" t="s">
        <v>10</v>
      </c>
      <c r="C16" s="449">
        <f>WACC!A1</f>
        <v>0</v>
      </c>
    </row>
    <row r="17" spans="2:3" ht="16" x14ac:dyDescent="0.2">
      <c r="B17" s="601" t="s">
        <v>11</v>
      </c>
      <c r="C17" s="450">
        <f>DCF!A1</f>
        <v>0</v>
      </c>
    </row>
  </sheetData>
  <hyperlinks>
    <hyperlink ref="B8" location="Assumptions!A1" display="Assumptions" xr:uid="{07AF26D6-C42D-4CBC-AF10-C4C2F5457867}"/>
    <hyperlink ref="B9" location="Calcs!A1" display="Calcs" xr:uid="{69CB86C8-E616-4A7A-B938-F00D0A312E44}"/>
    <hyperlink ref="B10" location="'Income Statement'!A1" display="Income Statement" xr:uid="{D21F2704-6730-41EE-885C-6FBF11C2FC76}"/>
    <hyperlink ref="B11" location="'Balance Sheet'!A1" display="Balance Sheet" xr:uid="{9A9FE9C1-9271-43A7-8EB5-07BCDE365A58}"/>
    <hyperlink ref="B12" location="'Cash Flow Statement'!A1" display="Cash Flow Statement" xr:uid="{D1D57D6E-8415-4EDF-829A-E38D5016CDFE}"/>
    <hyperlink ref="B13" location="'Debt Schedule'!A1" display="Debt Schedule" xr:uid="{362D2789-9F41-480D-8281-ABF46ED0CFED}"/>
    <hyperlink ref="B14" location="LTMS!A1" display="LTM" xr:uid="{16405814-B15D-454F-95E2-C2AAEF5EAD08}"/>
    <hyperlink ref="B15" location="Comps!A1" display="Comps" xr:uid="{7D68C824-BF33-411F-8E96-FD70D145A016}"/>
    <hyperlink ref="B16" location="WACC!A1" display="WACC" xr:uid="{7380F078-1F0C-4FFC-A292-307CCBED552A}"/>
    <hyperlink ref="B17" location="DCF!A1" display="DCF" xr:uid="{EA30594C-6F97-4BAE-A1CD-4340FDDF579A}"/>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0BD0-D9F3-4B04-BC17-7E87748EE8F4}">
  <sheetPr>
    <pageSetUpPr autoPageBreaks="0"/>
  </sheetPr>
  <dimension ref="A2:AO91"/>
  <sheetViews>
    <sheetView showGridLines="0" zoomScale="80" zoomScaleNormal="80" workbookViewId="0"/>
  </sheetViews>
  <sheetFormatPr baseColWidth="10" defaultColWidth="15.5" defaultRowHeight="15" customHeight="1" x14ac:dyDescent="0.2"/>
  <cols>
    <col min="1" max="1" width="2.5" customWidth="1"/>
    <col min="2" max="2" width="69.5" customWidth="1"/>
    <col min="19" max="19" width="2.5" customWidth="1"/>
    <col min="26" max="26" width="2.5" customWidth="1"/>
    <col min="33" max="33" width="2.5" customWidth="1"/>
  </cols>
  <sheetData>
    <row r="2" spans="1:41" s="411" customFormat="1" ht="15" customHeight="1" x14ac:dyDescent="0.2">
      <c r="A2"/>
      <c r="B2" s="410" t="s">
        <v>2</v>
      </c>
      <c r="C2" s="451" t="s">
        <v>12</v>
      </c>
      <c r="D2" s="86"/>
      <c r="E2" s="86"/>
      <c r="F2" s="86"/>
      <c r="G2" s="87"/>
      <c r="H2"/>
      <c r="I2" s="455" t="s">
        <v>13</v>
      </c>
      <c r="J2" s="337"/>
      <c r="K2"/>
      <c r="L2" s="455" t="s">
        <v>14</v>
      </c>
      <c r="M2" s="451"/>
      <c r="N2" s="451"/>
      <c r="O2" s="451"/>
      <c r="P2" s="337"/>
      <c r="S2" s="455" t="s">
        <v>14</v>
      </c>
      <c r="T2" s="451"/>
      <c r="U2" s="451"/>
      <c r="V2" s="451"/>
      <c r="W2" s="451"/>
      <c r="X2" s="337"/>
      <c r="Z2" s="455" t="s">
        <v>15</v>
      </c>
      <c r="AA2" s="451"/>
      <c r="AB2" s="451"/>
      <c r="AC2" s="451"/>
      <c r="AD2" s="451"/>
      <c r="AE2" s="337"/>
      <c r="AG2" s="455" t="s">
        <v>14</v>
      </c>
      <c r="AH2" s="451"/>
      <c r="AI2" s="451"/>
      <c r="AJ2" s="451"/>
      <c r="AK2" s="451"/>
      <c r="AL2" s="337"/>
    </row>
    <row r="3" spans="1:41" s="411" customFormat="1" ht="15" customHeight="1" x14ac:dyDescent="0.2">
      <c r="A3"/>
      <c r="B3" s="88"/>
      <c r="C3" s="452">
        <v>2021</v>
      </c>
      <c r="D3" s="452">
        <f>C3+1</f>
        <v>2022</v>
      </c>
      <c r="E3" s="452">
        <f t="shared" ref="E3:G3" si="0">D3+1</f>
        <v>2023</v>
      </c>
      <c r="F3" s="452">
        <f t="shared" si="0"/>
        <v>2024</v>
      </c>
      <c r="G3" s="453">
        <f t="shared" si="0"/>
        <v>2025</v>
      </c>
      <c r="H3"/>
      <c r="I3" s="454" t="s">
        <v>16</v>
      </c>
      <c r="J3" s="453" t="s">
        <v>17</v>
      </c>
      <c r="K3"/>
      <c r="L3" s="454">
        <f>G3+1</f>
        <v>2026</v>
      </c>
      <c r="M3" s="452">
        <f>L3+1</f>
        <v>2027</v>
      </c>
      <c r="N3" s="452">
        <f t="shared" ref="N3:P3" si="1">M3+1</f>
        <v>2028</v>
      </c>
      <c r="O3" s="452">
        <f t="shared" si="1"/>
        <v>2029</v>
      </c>
      <c r="P3" s="453">
        <f t="shared" si="1"/>
        <v>2030</v>
      </c>
      <c r="S3" s="456"/>
      <c r="T3" s="452">
        <v>2026</v>
      </c>
      <c r="U3" s="452">
        <v>2027</v>
      </c>
      <c r="V3" s="452">
        <v>2028</v>
      </c>
      <c r="W3" s="452">
        <v>2029</v>
      </c>
      <c r="X3" s="453">
        <v>2030</v>
      </c>
      <c r="Z3" s="456"/>
      <c r="AA3" s="452">
        <v>2026</v>
      </c>
      <c r="AB3" s="452">
        <v>2027</v>
      </c>
      <c r="AC3" s="452">
        <v>2028</v>
      </c>
      <c r="AD3" s="452">
        <v>2029</v>
      </c>
      <c r="AE3" s="453">
        <v>2030</v>
      </c>
      <c r="AG3" s="456"/>
      <c r="AH3" s="452">
        <v>2026</v>
      </c>
      <c r="AI3" s="452">
        <v>2027</v>
      </c>
      <c r="AJ3" s="452">
        <v>2028</v>
      </c>
      <c r="AK3" s="452">
        <v>2029</v>
      </c>
      <c r="AL3" s="453">
        <v>2030</v>
      </c>
    </row>
    <row r="4" spans="1:41" ht="15" customHeight="1" x14ac:dyDescent="0.2">
      <c r="B4" s="468" t="s">
        <v>4</v>
      </c>
      <c r="C4" s="55"/>
      <c r="D4" s="55"/>
      <c r="E4" s="55"/>
      <c r="F4" s="55"/>
      <c r="G4" s="469"/>
      <c r="I4" s="470"/>
      <c r="J4" s="469"/>
      <c r="L4" s="470"/>
      <c r="M4" s="55"/>
      <c r="N4" s="471" t="s">
        <v>18</v>
      </c>
      <c r="O4" s="55"/>
      <c r="P4" s="469"/>
      <c r="S4" s="472" t="s">
        <v>19</v>
      </c>
      <c r="T4" s="473"/>
      <c r="U4" s="473"/>
      <c r="V4" s="473"/>
      <c r="W4" s="473"/>
      <c r="X4" s="474"/>
      <c r="Z4" s="472" t="s">
        <v>20</v>
      </c>
      <c r="AA4" s="473"/>
      <c r="AB4" s="473"/>
      <c r="AC4" s="473"/>
      <c r="AD4" s="473"/>
      <c r="AE4" s="474"/>
      <c r="AG4" s="472" t="s">
        <v>18</v>
      </c>
      <c r="AH4" s="473"/>
      <c r="AI4" s="473"/>
      <c r="AJ4" s="473"/>
      <c r="AK4" s="473"/>
      <c r="AL4" s="474"/>
    </row>
    <row r="5" spans="1:41" ht="15" customHeight="1" x14ac:dyDescent="0.2">
      <c r="A5" t="s">
        <v>21</v>
      </c>
      <c r="B5" s="336" t="s">
        <v>22</v>
      </c>
      <c r="C5" s="30"/>
      <c r="G5" s="40"/>
      <c r="I5" s="475"/>
      <c r="J5" s="42"/>
      <c r="L5" s="39"/>
      <c r="P5" s="40"/>
      <c r="S5" s="336"/>
      <c r="X5" s="40"/>
      <c r="Z5" s="336"/>
      <c r="AA5" s="98"/>
      <c r="AE5" s="40"/>
      <c r="AG5" s="336"/>
      <c r="AL5" s="40"/>
      <c r="AO5" s="476" t="s">
        <v>19</v>
      </c>
    </row>
    <row r="6" spans="1:41" ht="15" customHeight="1" x14ac:dyDescent="0.2">
      <c r="B6" s="39" t="s">
        <v>23</v>
      </c>
      <c r="C6" s="30"/>
      <c r="D6" s="477">
        <f>('Income Statement'!D6-'Income Statement'!C6)/'Income Statement'!C6</f>
        <v>-7.0777941900541604E-4</v>
      </c>
      <c r="E6" s="30">
        <f>('Income Statement'!E6-'Income Statement'!D6)/'Income Statement'!D6</f>
        <v>3.9540541372832812E-2</v>
      </c>
      <c r="F6" s="30">
        <f>('Income Statement'!F6-'Income Statement'!E6)/'Income Statement'!E6</f>
        <v>0.56026898124833369</v>
      </c>
      <c r="G6" s="42">
        <f>('Income Statement'!G6-'Income Statement'!F6)/'Income Statement'!F6</f>
        <v>0.19207328650085437</v>
      </c>
      <c r="I6" s="475">
        <f>AVERAGE(E6:G6)</f>
        <v>0.26396093637400697</v>
      </c>
      <c r="J6" s="42">
        <f>AVERAGE(D6:G6)</f>
        <v>0.19779375742575384</v>
      </c>
      <c r="L6" s="47" cm="1">
        <f t="array" ref="L6">_xlfn.IFS($N$4="Bull",T6, $N$4="Bear",AA6, $N$4="Base",AH6)</f>
        <v>0.14000000000000001</v>
      </c>
      <c r="M6" s="48" cm="1">
        <f t="array" ref="M6">_xlfn.IFS($N$4="Bull",U6, $N$4="Bear",AB6, $N$4="Base",AI6)</f>
        <v>0.12</v>
      </c>
      <c r="N6" s="48" cm="1">
        <f t="array" ref="N6">_xlfn.IFS($N$4="Bull",V6, $N$4="Bear",AC6, $N$4="Base",AJ6)</f>
        <v>0.08</v>
      </c>
      <c r="O6" s="48" cm="1">
        <f t="array" ref="O6">_xlfn.IFS($N$4="Bull",W6, $N$4="Bear",AD6, $N$4="Base",AK6)</f>
        <v>6.5000000000000002E-2</v>
      </c>
      <c r="P6" s="49" cm="1">
        <f t="array" ref="P6">_xlfn.IFS($N$4="Bull",X6, $N$4="Bear",AE6, $N$4="Base",AL6)</f>
        <v>6.5000000000000002E-2</v>
      </c>
      <c r="S6" s="39"/>
      <c r="T6" s="34">
        <v>0.2</v>
      </c>
      <c r="U6" s="34">
        <v>0.17</v>
      </c>
      <c r="V6" s="34">
        <v>0.185</v>
      </c>
      <c r="W6" s="34">
        <v>0.19</v>
      </c>
      <c r="X6" s="54">
        <v>0.20499999999999999</v>
      </c>
      <c r="Z6" s="39"/>
      <c r="AA6" s="34">
        <v>0.1</v>
      </c>
      <c r="AB6" s="34">
        <v>7.4999999999999997E-2</v>
      </c>
      <c r="AC6" s="34">
        <v>0.05</v>
      </c>
      <c r="AD6" s="34">
        <v>3.5000000000000003E-2</v>
      </c>
      <c r="AE6" s="109">
        <v>3.5000000000000003E-2</v>
      </c>
      <c r="AG6" s="39"/>
      <c r="AH6" s="34">
        <v>0.14000000000000001</v>
      </c>
      <c r="AI6" s="34">
        <v>0.12</v>
      </c>
      <c r="AJ6" s="34">
        <v>0.08</v>
      </c>
      <c r="AK6" s="34">
        <v>6.5000000000000002E-2</v>
      </c>
      <c r="AL6" s="54">
        <v>6.5000000000000002E-2</v>
      </c>
      <c r="AO6" s="478" t="s">
        <v>20</v>
      </c>
    </row>
    <row r="7" spans="1:41" ht="15" customHeight="1" x14ac:dyDescent="0.2">
      <c r="B7" s="39" t="s">
        <v>24</v>
      </c>
      <c r="C7" s="30"/>
      <c r="D7" s="30">
        <f>('Income Statement'!D7-'Income Statement'!C7)/'Income Statement'!C7</f>
        <v>0.12671213987608243</v>
      </c>
      <c r="E7" s="30">
        <f>('Income Statement'!E7-'Income Statement'!D7)/'Income Statement'!D7</f>
        <v>7.259762087365175E-2</v>
      </c>
      <c r="F7" s="30">
        <f>('Income Statement'!F7-'Income Statement'!E7)/'Income Statement'!E7</f>
        <v>0.10259842998843791</v>
      </c>
      <c r="G7" s="42">
        <f>('Income Statement'!G7-'Income Statement'!F7)/'Income Statement'!F7</f>
        <v>0.11060213036039516</v>
      </c>
      <c r="I7" s="475">
        <f>AVERAGE(E7:G7)</f>
        <v>9.5266060407494954E-2</v>
      </c>
      <c r="J7" s="42">
        <f>AVERAGE(D7:G7)</f>
        <v>0.10312758027464182</v>
      </c>
      <c r="L7" s="47" cm="1">
        <f t="array" ref="L7">_xlfn.IFS($N$4="Bull",T7, $N$4="Bear",AA7, $N$4="Base",AH7)</f>
        <v>0.113</v>
      </c>
      <c r="M7" s="48" cm="1">
        <f t="array" ref="M7">_xlfn.IFS($N$4="Bull",U7, $N$4="Bear",AB7, $N$4="Base",AI7)</f>
        <v>0.1</v>
      </c>
      <c r="N7" s="48" cm="1">
        <f t="array" ref="N7">_xlfn.IFS($N$4="Bull",V7, $N$4="Bear",AC7, $N$4="Base",AJ7)</f>
        <v>9.5000000000000001E-2</v>
      </c>
      <c r="O7" s="48" cm="1">
        <f t="array" ref="O7">_xlfn.IFS($N$4="Bull",W7, $N$4="Bear",AD7, $N$4="Base",AK7)</f>
        <v>0.08</v>
      </c>
      <c r="P7" s="49" cm="1">
        <f t="array" ref="P7">_xlfn.IFS($N$4="Bull",X7, $N$4="Bear",AE7, $N$4="Base",AL7)</f>
        <v>0.08</v>
      </c>
      <c r="S7" s="39"/>
      <c r="T7" s="34">
        <v>0.115</v>
      </c>
      <c r="U7" s="34">
        <v>0.11</v>
      </c>
      <c r="V7" s="34">
        <v>0.105</v>
      </c>
      <c r="W7" s="34">
        <v>0.1</v>
      </c>
      <c r="X7" s="54">
        <v>9.5000000000000001E-2</v>
      </c>
      <c r="Z7" s="39"/>
      <c r="AA7" s="34">
        <v>0.08</v>
      </c>
      <c r="AB7" s="34">
        <v>7.0000000000000007E-2</v>
      </c>
      <c r="AC7" s="34">
        <v>0.06</v>
      </c>
      <c r="AD7" s="34">
        <v>0.05</v>
      </c>
      <c r="AE7" s="109">
        <v>0.05</v>
      </c>
      <c r="AG7" s="39"/>
      <c r="AH7" s="34">
        <v>0.113</v>
      </c>
      <c r="AI7" s="34">
        <v>0.1</v>
      </c>
      <c r="AJ7" s="34">
        <v>9.5000000000000001E-2</v>
      </c>
      <c r="AK7" s="34">
        <v>0.08</v>
      </c>
      <c r="AL7" s="54">
        <v>0.08</v>
      </c>
      <c r="AO7" s="479" t="s">
        <v>18</v>
      </c>
    </row>
    <row r="8" spans="1:41" ht="15" customHeight="1" x14ac:dyDescent="0.2">
      <c r="B8" s="39" t="s">
        <v>25</v>
      </c>
      <c r="C8" s="30"/>
      <c r="D8" s="30">
        <f>('Income Statement'!D8-'Income Statement'!C8)/'Income Statement'!C8</f>
        <v>5.0560049782202861E-2</v>
      </c>
      <c r="E8" s="30">
        <f>('Income Statement'!E8-'Income Statement'!D8)/'Income Statement'!D8</f>
        <v>0.33970087368576929</v>
      </c>
      <c r="F8" s="30">
        <f>('Income Statement'!F8-'Income Statement'!E8)/'Income Statement'!E8</f>
        <v>0.27611362882723556</v>
      </c>
      <c r="G8" s="42">
        <f>('Income Statement'!G8-'Income Statement'!F8)/'Income Statement'!F8</f>
        <v>0.15452576873105239</v>
      </c>
      <c r="I8" s="475">
        <f>AVERAGE(E8:G8)</f>
        <v>0.25678009041468575</v>
      </c>
      <c r="J8" s="42">
        <f>AVERAGE(D8:G8)</f>
        <v>0.20522508025656502</v>
      </c>
      <c r="L8" s="47" cm="1">
        <f t="array" ref="L8">_xlfn.IFS($N$4="Bull",T8, $N$4="Bear",AA8, $N$4="Base",AH8)</f>
        <v>0.13950000000000001</v>
      </c>
      <c r="M8" s="48" cm="1">
        <f t="array" ref="M8">_xlfn.IFS($N$4="Bull",U8, $N$4="Bear",AB8, $N$4="Base",AI8)</f>
        <v>0.11799999999999999</v>
      </c>
      <c r="N8" s="48" cm="1">
        <f t="array" ref="N8">_xlfn.IFS($N$4="Bull",V8, $N$4="Bear",AC8, $N$4="Base",AJ8)</f>
        <v>0.11</v>
      </c>
      <c r="O8" s="48" cm="1">
        <f t="array" ref="O8">_xlfn.IFS($N$4="Bull",W8, $N$4="Bear",AD8, $N$4="Base",AK8)</f>
        <v>0.105</v>
      </c>
      <c r="P8" s="49" cm="1">
        <f t="array" ref="P8">_xlfn.IFS($N$4="Bull",X8, $N$4="Bear",AE8, $N$4="Base",AL8)</f>
        <v>0.105</v>
      </c>
      <c r="S8" s="39"/>
      <c r="T8" s="34">
        <v>0.16</v>
      </c>
      <c r="U8" s="34">
        <v>0.14000000000000001</v>
      </c>
      <c r="V8" s="34">
        <v>0.13</v>
      </c>
      <c r="W8" s="34">
        <v>0.11</v>
      </c>
      <c r="X8" s="54">
        <v>0.108</v>
      </c>
      <c r="Z8" s="39"/>
      <c r="AA8" s="34">
        <v>0.09</v>
      </c>
      <c r="AB8" s="34">
        <v>7.4999999999999997E-2</v>
      </c>
      <c r="AC8" s="34">
        <v>6.5000000000000002E-2</v>
      </c>
      <c r="AD8" s="34">
        <v>0.06</v>
      </c>
      <c r="AE8" s="109">
        <v>0.06</v>
      </c>
      <c r="AG8" s="39"/>
      <c r="AH8" s="34">
        <v>0.13950000000000001</v>
      </c>
      <c r="AI8" s="34">
        <v>0.11799999999999999</v>
      </c>
      <c r="AJ8" s="34">
        <v>0.11</v>
      </c>
      <c r="AK8" s="34">
        <v>0.105</v>
      </c>
      <c r="AL8" s="54">
        <v>0.105</v>
      </c>
    </row>
    <row r="9" spans="1:41" ht="15" customHeight="1" x14ac:dyDescent="0.2">
      <c r="B9" s="39" t="s">
        <v>26</v>
      </c>
      <c r="C9" s="30"/>
      <c r="D9" s="30"/>
      <c r="E9" s="30"/>
      <c r="F9" s="477"/>
      <c r="G9" s="480">
        <f>('Income Statement'!G9-'Income Statement'!F9)/'Income Statement'!F9</f>
        <v>-0.1</v>
      </c>
      <c r="I9" s="481">
        <f>AVERAGE(E9:G9)</f>
        <v>-0.1</v>
      </c>
      <c r="J9" s="480">
        <f>AVERAGE(D9:G9)</f>
        <v>-0.1</v>
      </c>
      <c r="L9" s="102" cm="1">
        <f t="array" ref="L9">_xlfn.IFS($N$4="Bull",T9, $N$4="Bear",AA9, $N$4="Base",AH9)</f>
        <v>-0.1</v>
      </c>
      <c r="M9" s="103" cm="1">
        <f t="array" ref="M9">_xlfn.IFS($N$4="Bull",U9, $N$4="Bear",AB9, $N$4="Base",AI9)</f>
        <v>-0.1</v>
      </c>
      <c r="N9" s="103" cm="1">
        <f t="array" ref="N9">_xlfn.IFS($N$4="Bull",V9, $N$4="Bear",AC9, $N$4="Base",AJ9)</f>
        <v>-0.1</v>
      </c>
      <c r="O9" s="103" cm="1">
        <f t="array" ref="O9">_xlfn.IFS($N$4="Bull",W9, $N$4="Bear",AD9, $N$4="Base",AK9)</f>
        <v>-0.1</v>
      </c>
      <c r="P9" s="104" cm="1">
        <f t="array" ref="P9">_xlfn.IFS($N$4="Bull",X9, $N$4="Bear",AE9, $N$4="Base",AL9)</f>
        <v>-0.1</v>
      </c>
      <c r="S9" s="39"/>
      <c r="T9" s="98">
        <v>-0.1</v>
      </c>
      <c r="U9" s="98">
        <v>-0.1</v>
      </c>
      <c r="V9" s="98">
        <v>-0.1</v>
      </c>
      <c r="W9" s="98">
        <v>-0.1</v>
      </c>
      <c r="X9" s="99">
        <v>-0.1</v>
      </c>
      <c r="Z9" s="39"/>
      <c r="AA9" s="98">
        <v>-0.1</v>
      </c>
      <c r="AB9" s="98">
        <v>-0.1</v>
      </c>
      <c r="AC9" s="98">
        <v>-0.1</v>
      </c>
      <c r="AD9" s="98">
        <v>-0.1</v>
      </c>
      <c r="AE9" s="199">
        <v>-0.1</v>
      </c>
      <c r="AG9" s="39"/>
      <c r="AH9" s="101">
        <v>-0.1</v>
      </c>
      <c r="AI9" s="101">
        <v>-0.1</v>
      </c>
      <c r="AJ9" s="101">
        <v>-0.1</v>
      </c>
      <c r="AK9" s="101">
        <v>-0.1</v>
      </c>
      <c r="AL9" s="157">
        <v>-0.1</v>
      </c>
    </row>
    <row r="10" spans="1:41" ht="15" customHeight="1" x14ac:dyDescent="0.2">
      <c r="B10" s="39" t="s">
        <v>27</v>
      </c>
      <c r="C10" s="30"/>
      <c r="D10" s="30">
        <f>('Income Statement'!D10-'Income Statement'!C10)/'Income Statement'!C10</f>
        <v>4.0927694406548429E-3</v>
      </c>
      <c r="E10" s="30">
        <f>('Income Statement'!E10-'Income Statement'!D10)/'Income Statement'!D10</f>
        <v>0.14356884057971014</v>
      </c>
      <c r="F10" s="477">
        <f>('Income Statement'!F10-'Income Statement'!E10)/'Income Statement'!E10</f>
        <v>-0.19623762376237625</v>
      </c>
      <c r="G10" s="480">
        <f>('Income Statement'!G10-'Income Statement'!F10)/'Income Statement'!F10</f>
        <v>-0.31608770633160876</v>
      </c>
      <c r="I10" s="481">
        <f>AVERAGE(E10:G10)</f>
        <v>-0.12291882983809162</v>
      </c>
      <c r="J10" s="480">
        <f>AVERAGE(D10:G10)</f>
        <v>-9.1165930018405006E-2</v>
      </c>
      <c r="L10" s="102" cm="1">
        <f t="array" ref="L10">_xlfn.IFS($N$4="Bull",T10, $N$4="Bear",AA10, $N$4="Base",AH10)</f>
        <v>-0.245</v>
      </c>
      <c r="M10" s="103" cm="1">
        <f t="array" ref="M10">_xlfn.IFS($N$4="Bull",U10, $N$4="Bear",AB10, $N$4="Base",AI10)</f>
        <v>-0.20499999999999999</v>
      </c>
      <c r="N10" s="103" cm="1">
        <f t="array" ref="N10">_xlfn.IFS($N$4="Bull",V10, $N$4="Bear",AC10, $N$4="Base",AJ10)</f>
        <v>-0.17199999999999999</v>
      </c>
      <c r="O10" s="103" cm="1">
        <f t="array" ref="O10">_xlfn.IFS($N$4="Bull",W10, $N$4="Bear",AD10, $N$4="Base",AK10)</f>
        <v>-0.12</v>
      </c>
      <c r="P10" s="104" cm="1">
        <f t="array" ref="P10">_xlfn.IFS($N$4="Bull",X10, $N$4="Bear",AE10, $N$4="Base",AL10)</f>
        <v>-0.12</v>
      </c>
      <c r="S10" s="39"/>
      <c r="T10" s="98">
        <v>-0.22</v>
      </c>
      <c r="U10" s="98">
        <v>-0.19</v>
      </c>
      <c r="V10" s="98">
        <v>-0.15</v>
      </c>
      <c r="W10" s="98">
        <v>-0.1</v>
      </c>
      <c r="X10" s="99">
        <v>-0.11</v>
      </c>
      <c r="Z10" s="39"/>
      <c r="AA10" s="98">
        <v>-0.32</v>
      </c>
      <c r="AB10" s="98">
        <v>-0.27</v>
      </c>
      <c r="AC10" s="98">
        <v>-0.23</v>
      </c>
      <c r="AD10" s="98">
        <v>-0.18</v>
      </c>
      <c r="AE10" s="199">
        <v>-0.18</v>
      </c>
      <c r="AG10" s="39"/>
      <c r="AH10" s="98">
        <v>-0.245</v>
      </c>
      <c r="AI10" s="98">
        <v>-0.20499999999999999</v>
      </c>
      <c r="AJ10" s="98">
        <v>-0.17199999999999999</v>
      </c>
      <c r="AK10" s="98">
        <v>-0.12</v>
      </c>
      <c r="AL10" s="99">
        <v>-0.12</v>
      </c>
    </row>
    <row r="11" spans="1:41" ht="15" customHeight="1" x14ac:dyDescent="0.2">
      <c r="B11" s="39"/>
      <c r="C11" s="30"/>
      <c r="D11" s="30"/>
      <c r="E11" s="30"/>
      <c r="F11" s="30"/>
      <c r="G11" s="42"/>
      <c r="I11" s="475"/>
      <c r="J11" s="42"/>
      <c r="L11" s="47"/>
      <c r="M11" s="48"/>
      <c r="N11" s="48"/>
      <c r="O11" s="48"/>
      <c r="P11" s="49"/>
      <c r="S11" s="39"/>
      <c r="T11" s="34"/>
      <c r="U11" s="34"/>
      <c r="V11" s="34"/>
      <c r="W11" s="34"/>
      <c r="X11" s="54"/>
      <c r="Z11" s="39"/>
      <c r="AA11" s="29"/>
      <c r="AB11" s="29"/>
      <c r="AC11" s="29"/>
      <c r="AD11" s="29"/>
      <c r="AE11" s="108"/>
      <c r="AG11" s="39"/>
      <c r="AH11" s="29"/>
      <c r="AI11" s="29"/>
      <c r="AJ11" s="29"/>
      <c r="AK11" s="29"/>
      <c r="AL11" s="38"/>
    </row>
    <row r="12" spans="1:41" ht="15" customHeight="1" x14ac:dyDescent="0.2">
      <c r="B12" s="336" t="s">
        <v>28</v>
      </c>
      <c r="C12" s="30"/>
      <c r="D12" s="30"/>
      <c r="E12" s="30"/>
      <c r="F12" s="30"/>
      <c r="G12" s="42"/>
      <c r="I12" s="475"/>
      <c r="J12" s="42"/>
      <c r="L12" s="47"/>
      <c r="M12" s="48"/>
      <c r="N12" s="48"/>
      <c r="O12" s="48"/>
      <c r="P12" s="49"/>
      <c r="S12" s="336"/>
      <c r="T12" s="34"/>
      <c r="U12" s="34"/>
      <c r="V12" s="34"/>
      <c r="W12" s="34"/>
      <c r="X12" s="54"/>
      <c r="Z12" s="336"/>
      <c r="AA12" s="29"/>
      <c r="AB12" s="29"/>
      <c r="AC12" s="29"/>
      <c r="AD12" s="29"/>
      <c r="AE12" s="38"/>
      <c r="AG12" s="336"/>
      <c r="AH12" s="29"/>
      <c r="AI12" s="29"/>
      <c r="AJ12" s="29"/>
      <c r="AK12" s="29"/>
      <c r="AL12" s="38"/>
    </row>
    <row r="13" spans="1:41" ht="15" customHeight="1" x14ac:dyDescent="0.2">
      <c r="B13" s="336" t="s">
        <v>29</v>
      </c>
      <c r="C13" s="30"/>
      <c r="D13" s="30"/>
      <c r="E13" s="30"/>
      <c r="F13" s="30"/>
      <c r="G13" s="42"/>
      <c r="I13" s="475"/>
      <c r="J13" s="42"/>
      <c r="L13" s="47"/>
      <c r="M13" s="48"/>
      <c r="N13" s="48"/>
      <c r="O13" s="48"/>
      <c r="P13" s="49"/>
      <c r="S13" s="336"/>
      <c r="T13" s="34"/>
      <c r="U13" s="34"/>
      <c r="V13" s="34"/>
      <c r="W13" s="34"/>
      <c r="X13" s="54"/>
      <c r="Z13" s="336"/>
      <c r="AA13" s="29"/>
      <c r="AB13" s="29"/>
      <c r="AC13" s="29"/>
      <c r="AD13" s="29"/>
      <c r="AE13" s="38"/>
      <c r="AG13" s="336"/>
      <c r="AH13" s="29"/>
      <c r="AI13" s="29"/>
      <c r="AJ13" s="29"/>
      <c r="AK13" s="29"/>
      <c r="AL13" s="38"/>
    </row>
    <row r="14" spans="1:41" ht="15" customHeight="1" x14ac:dyDescent="0.2">
      <c r="A14" t="s">
        <v>21</v>
      </c>
      <c r="B14" s="482" t="s">
        <v>30</v>
      </c>
      <c r="C14" s="30"/>
      <c r="D14" s="30"/>
      <c r="E14" s="30"/>
      <c r="F14" s="30"/>
      <c r="G14" s="42"/>
      <c r="I14" s="475"/>
      <c r="J14" s="42"/>
      <c r="L14" s="47"/>
      <c r="M14" s="48"/>
      <c r="N14" s="48"/>
      <c r="O14" s="48"/>
      <c r="P14" s="49"/>
      <c r="S14" s="482"/>
      <c r="T14" s="34"/>
      <c r="U14" s="34"/>
      <c r="V14" s="34"/>
      <c r="W14" s="34"/>
      <c r="X14" s="54"/>
      <c r="Z14" s="482"/>
      <c r="AA14" s="29"/>
      <c r="AB14" s="29"/>
      <c r="AC14" s="29"/>
      <c r="AD14" s="29"/>
      <c r="AE14" s="38"/>
      <c r="AG14" s="482"/>
      <c r="AH14" s="29"/>
      <c r="AI14" s="29"/>
      <c r="AJ14" s="29"/>
      <c r="AK14" s="29"/>
      <c r="AL14" s="38"/>
    </row>
    <row r="15" spans="1:41" ht="15" customHeight="1" x14ac:dyDescent="0.2">
      <c r="B15" s="39" t="s">
        <v>31</v>
      </c>
      <c r="C15" s="30"/>
      <c r="D15" s="30">
        <f>('Income Statement'!D15-'Income Statement'!C15)/'Income Statement'!C15</f>
        <v>6.1753405518686695E-2</v>
      </c>
      <c r="E15" s="30">
        <f>('Income Statement'!E15-'Income Statement'!D15)/'Income Statement'!D15</f>
        <v>8.4939798670965197E-2</v>
      </c>
      <c r="F15" s="30">
        <f>('Income Statement'!F15-'Income Statement'!E15)/'Income Statement'!E15</f>
        <v>6.5858095815645848E-2</v>
      </c>
      <c r="G15" s="42">
        <f>('Income Statement'!G15-'Income Statement'!F15)/'Income Statement'!F15</f>
        <v>7.2598998634501588E-2</v>
      </c>
      <c r="I15" s="475">
        <f>AVERAGE(E15:G15)</f>
        <v>7.4465631040370878E-2</v>
      </c>
      <c r="J15" s="42">
        <f>AVERAGE(D15:G15)</f>
        <v>7.1287574659949837E-2</v>
      </c>
      <c r="L15" s="47" cm="1">
        <f t="array" ref="L15">_xlfn.IFS($N$4="Bull",T15, $N$4="Bear",AA15, $N$4="Base",AH15)</f>
        <v>0.03</v>
      </c>
      <c r="M15" s="48" cm="1">
        <f t="array" ref="M15">_xlfn.IFS($N$4="Bull",U15, $N$4="Bear",AB15, $N$4="Base",AI15)</f>
        <v>3.4000000000000002E-2</v>
      </c>
      <c r="N15" s="48" cm="1">
        <f t="array" ref="N15">_xlfn.IFS($N$4="Bull",V15, $N$4="Bear",AC15, $N$4="Base",AJ15)</f>
        <v>3.4000000000000002E-2</v>
      </c>
      <c r="O15" s="48" cm="1">
        <f t="array" ref="O15">_xlfn.IFS($N$4="Bull",W15, $N$4="Bear",AD15, $N$4="Base",AK15)</f>
        <v>0.05</v>
      </c>
      <c r="P15" s="49" cm="1">
        <f t="array" ref="P15">_xlfn.IFS($N$4="Bull",X15, $N$4="Bear",AE15, $N$4="Base",AL15)</f>
        <v>0.05</v>
      </c>
      <c r="Q15" s="30"/>
      <c r="S15" s="39"/>
      <c r="T15" s="34">
        <v>0.08</v>
      </c>
      <c r="U15" s="34">
        <v>7.7499999999999999E-2</v>
      </c>
      <c r="V15" s="34">
        <v>7.4999999999999997E-2</v>
      </c>
      <c r="W15" s="34">
        <v>7.2499999999999995E-2</v>
      </c>
      <c r="X15" s="54">
        <v>7.0000000000000007E-2</v>
      </c>
      <c r="Z15" s="39"/>
      <c r="AA15" s="97">
        <v>5.5E-2</v>
      </c>
      <c r="AB15" s="97">
        <v>0.05</v>
      </c>
      <c r="AC15" s="97">
        <v>4.4999999999999998E-2</v>
      </c>
      <c r="AD15" s="97">
        <v>0.04</v>
      </c>
      <c r="AE15" s="163">
        <v>0.04</v>
      </c>
      <c r="AG15" s="39"/>
      <c r="AH15" s="34">
        <v>0.03</v>
      </c>
      <c r="AI15" s="34">
        <v>3.4000000000000002E-2</v>
      </c>
      <c r="AJ15" s="34">
        <v>3.4000000000000002E-2</v>
      </c>
      <c r="AK15" s="34">
        <v>0.05</v>
      </c>
      <c r="AL15" s="54">
        <v>0.05</v>
      </c>
    </row>
    <row r="16" spans="1:41" ht="15" customHeight="1" x14ac:dyDescent="0.2">
      <c r="B16" s="39" t="s">
        <v>32</v>
      </c>
      <c r="C16" s="30"/>
      <c r="D16" s="30">
        <f>('Income Statement'!D16-'Income Statement'!C16)/'Income Statement'!C16</f>
        <v>0.12181594083812654</v>
      </c>
      <c r="E16" s="30">
        <f>('Income Statement'!E16-'Income Statement'!D16)/'Income Statement'!D16</f>
        <v>0.12488555209668559</v>
      </c>
      <c r="F16" s="30">
        <f>('Income Statement'!F16-'Income Statement'!E16)/'Income Statement'!E16</f>
        <v>9.7834934071300672E-2</v>
      </c>
      <c r="G16" s="42">
        <f>('Income Statement'!G16-'Income Statement'!F16)/'Income Statement'!F16</f>
        <v>0.12677935943060498</v>
      </c>
      <c r="I16" s="475">
        <f t="shared" ref="I16:J17" si="2">AVERAGE(E16:G16)</f>
        <v>0.11649994853286376</v>
      </c>
      <c r="J16" s="42">
        <f t="shared" si="2"/>
        <v>0.11230714675095282</v>
      </c>
      <c r="L16" s="47" cm="1">
        <f t="array" ref="L16">_xlfn.IFS($N$4="Bull",T16, $N$4="Bear",AA16, $N$4="Base",AH16)</f>
        <v>0.125</v>
      </c>
      <c r="M16" s="48" cm="1">
        <f t="array" ref="M16">_xlfn.IFS($N$4="Bull",U16, $N$4="Bear",AB16, $N$4="Base",AI16)</f>
        <v>0.115</v>
      </c>
      <c r="N16" s="48" cm="1">
        <f t="array" ref="N16">_xlfn.IFS($N$4="Bull",V16, $N$4="Bear",AC16, $N$4="Base",AJ16)</f>
        <v>0.11</v>
      </c>
      <c r="O16" s="48" cm="1">
        <f t="array" ref="O16">_xlfn.IFS($N$4="Bull",W16, $N$4="Bear",AD16, $N$4="Base",AK16)</f>
        <v>0.105</v>
      </c>
      <c r="P16" s="49" cm="1">
        <f t="array" ref="P16">_xlfn.IFS($N$4="Bull",X16, $N$4="Bear",AE16, $N$4="Base",AL16)</f>
        <v>0.105</v>
      </c>
      <c r="S16" s="39"/>
      <c r="T16" s="34">
        <v>0.125</v>
      </c>
      <c r="U16" s="34">
        <v>0.1275</v>
      </c>
      <c r="V16" s="34">
        <v>0.13</v>
      </c>
      <c r="W16" s="34">
        <v>0.13250000000000001</v>
      </c>
      <c r="X16" s="54">
        <v>0.13500000000000001</v>
      </c>
      <c r="Z16" s="39"/>
      <c r="AA16" s="97">
        <v>0.09</v>
      </c>
      <c r="AB16" s="97">
        <v>0.08</v>
      </c>
      <c r="AC16" s="97">
        <v>7.0000000000000007E-2</v>
      </c>
      <c r="AD16" s="97">
        <v>6.5000000000000002E-2</v>
      </c>
      <c r="AE16" s="163">
        <v>6.5000000000000002E-2</v>
      </c>
      <c r="AG16" s="39"/>
      <c r="AH16" s="34">
        <v>0.125</v>
      </c>
      <c r="AI16" s="34">
        <v>0.115</v>
      </c>
      <c r="AJ16" s="34">
        <v>0.11</v>
      </c>
      <c r="AK16" s="34">
        <v>0.105</v>
      </c>
      <c r="AL16" s="54">
        <v>0.105</v>
      </c>
    </row>
    <row r="17" spans="1:38" ht="15" customHeight="1" x14ac:dyDescent="0.2">
      <c r="B17" s="39" t="s">
        <v>33</v>
      </c>
      <c r="C17" s="30"/>
      <c r="D17" s="30">
        <f>('Income Statement'!D17-'Income Statement'!C17)/'Income Statement'!C17</f>
        <v>9.9224806201550386E-2</v>
      </c>
      <c r="E17" s="30">
        <f>('Income Statement'!E17-'Income Statement'!D17)/'Income Statement'!D17</f>
        <v>2.5881523272214388</v>
      </c>
      <c r="F17" s="477">
        <f>('Income Statement'!F17-'Income Statement'!E17)/'Income Statement'!E17</f>
        <v>-0.22346698113207547</v>
      </c>
      <c r="G17" s="480">
        <f>('Income Statement'!G17-'Income Statement'!F17)/'Income Statement'!F17</f>
        <v>-0.14679827891672995</v>
      </c>
      <c r="I17" s="475">
        <f t="shared" si="2"/>
        <v>0.7392956890575445</v>
      </c>
      <c r="J17" s="104">
        <f t="shared" si="2"/>
        <v>-0.18513263002440272</v>
      </c>
      <c r="L17" s="102" cm="1">
        <f t="array" ref="L17">_xlfn.IFS($N$4="Bull",T17, $N$4="Bear",AA17, $N$4="Base",AH17)</f>
        <v>-0.15</v>
      </c>
      <c r="M17" s="103" cm="1">
        <f t="array" ref="M17">_xlfn.IFS($N$4="Bull",U17, $N$4="Bear",AB17, $N$4="Base",AI17)</f>
        <v>-0.1</v>
      </c>
      <c r="N17" s="103" cm="1">
        <f t="array" ref="N17">_xlfn.IFS($N$4="Bull",V17, $N$4="Bear",AC17, $N$4="Base",AJ17)</f>
        <v>-0.08</v>
      </c>
      <c r="O17" s="103" cm="1">
        <f t="array" ref="O17">_xlfn.IFS($N$4="Bull",W17, $N$4="Bear",AD17, $N$4="Base",AK17)</f>
        <v>-0.05</v>
      </c>
      <c r="P17" s="104" cm="1">
        <f t="array" ref="P17">_xlfn.IFS($N$4="Bull",X17, $N$4="Bear",AE17, $N$4="Base",AL17)</f>
        <v>-0.05</v>
      </c>
      <c r="S17" s="39"/>
      <c r="T17" s="34">
        <v>0.27710000000000001</v>
      </c>
      <c r="U17" s="34">
        <v>0.27710000000000001</v>
      </c>
      <c r="V17" s="34">
        <v>0.27710000000000001</v>
      </c>
      <c r="W17" s="34">
        <v>0.27710000000000001</v>
      </c>
      <c r="X17" s="34">
        <v>0.27710000000000001</v>
      </c>
      <c r="Y17" s="478"/>
      <c r="Z17" s="39"/>
      <c r="AA17" s="200">
        <v>-0.2</v>
      </c>
      <c r="AB17" s="200">
        <v>-0.15</v>
      </c>
      <c r="AC17" s="200">
        <v>-0.12</v>
      </c>
      <c r="AD17" s="200">
        <v>-0.08</v>
      </c>
      <c r="AE17" s="201">
        <v>-0.08</v>
      </c>
      <c r="AG17" s="39"/>
      <c r="AH17" s="98">
        <v>-0.15</v>
      </c>
      <c r="AI17" s="98">
        <v>-0.1</v>
      </c>
      <c r="AJ17" s="98">
        <v>-0.08</v>
      </c>
      <c r="AK17" s="98">
        <v>-0.05</v>
      </c>
      <c r="AL17" s="99">
        <v>-0.05</v>
      </c>
    </row>
    <row r="18" spans="1:38" ht="15" customHeight="1" x14ac:dyDescent="0.2">
      <c r="B18" s="39"/>
      <c r="C18" s="30"/>
      <c r="D18" s="30"/>
      <c r="E18" s="30"/>
      <c r="F18" s="30"/>
      <c r="G18" s="42"/>
      <c r="I18" s="475"/>
      <c r="J18" s="42"/>
      <c r="L18" s="47"/>
      <c r="M18" s="48"/>
      <c r="N18" s="48"/>
      <c r="O18" s="48"/>
      <c r="P18" s="49"/>
      <c r="S18" s="39"/>
      <c r="T18" s="34"/>
      <c r="U18" s="34"/>
      <c r="V18" s="34"/>
      <c r="W18" s="34"/>
      <c r="X18" s="54"/>
      <c r="Z18" s="39"/>
      <c r="AA18" s="29"/>
      <c r="AB18" s="29"/>
      <c r="AC18" s="29"/>
      <c r="AD18" s="29"/>
      <c r="AE18" s="38"/>
      <c r="AG18" s="39"/>
      <c r="AH18" s="29"/>
      <c r="AI18" s="29"/>
      <c r="AJ18" s="29"/>
      <c r="AK18" s="29"/>
      <c r="AL18" s="38"/>
    </row>
    <row r="19" spans="1:38" ht="15" customHeight="1" x14ac:dyDescent="0.2">
      <c r="A19" t="s">
        <v>21</v>
      </c>
      <c r="B19" s="482" t="s">
        <v>34</v>
      </c>
      <c r="C19" s="30"/>
      <c r="D19" s="30"/>
      <c r="E19" s="30"/>
      <c r="F19" s="30"/>
      <c r="G19" s="42"/>
      <c r="I19" s="475"/>
      <c r="J19" s="42"/>
      <c r="L19" s="47"/>
      <c r="M19" s="48"/>
      <c r="N19" s="48"/>
      <c r="O19" s="48"/>
      <c r="P19" s="49"/>
      <c r="S19" s="482"/>
      <c r="T19" s="34"/>
      <c r="U19" s="34"/>
      <c r="V19" s="34"/>
      <c r="W19" s="34"/>
      <c r="X19" s="54"/>
      <c r="Z19" s="482"/>
      <c r="AA19" s="29"/>
      <c r="AB19" s="29"/>
      <c r="AC19" s="29"/>
      <c r="AD19" s="29"/>
      <c r="AE19" s="38"/>
      <c r="AG19" s="482"/>
      <c r="AH19" s="29"/>
      <c r="AI19" s="29"/>
      <c r="AJ19" s="29"/>
      <c r="AK19" s="29"/>
      <c r="AL19" s="38"/>
    </row>
    <row r="20" spans="1:38" ht="15" customHeight="1" x14ac:dyDescent="0.2">
      <c r="B20" s="39" t="s">
        <v>35</v>
      </c>
      <c r="C20" s="30"/>
      <c r="D20" s="477">
        <f>('Income Statement'!D19-'Income Statement'!C19)/'Income Statement'!C19</f>
        <v>-5.5728294666347766E-2</v>
      </c>
      <c r="E20" s="30">
        <f>('Income Statement'!E19-'Income Statement'!D19)/'Income Statement'!D19</f>
        <v>0.11081560283687943</v>
      </c>
      <c r="F20" s="477">
        <f>('Income Statement'!F19-'Income Statement'!E19)/'Income Statement'!E19</f>
        <v>-1.048911184585566E-2</v>
      </c>
      <c r="G20" s="480">
        <f>('Income Statement'!G19-'Income Statement'!F19)/'Income Statement'!F19</f>
        <v>-0.72773360986288738</v>
      </c>
      <c r="I20" s="481">
        <f>AVERAGE(E20:G20)</f>
        <v>-0.2091357062906212</v>
      </c>
      <c r="J20" s="480">
        <f>AVERAGE(D20:G20)</f>
        <v>-0.17078385338455285</v>
      </c>
      <c r="L20" s="102" cm="1">
        <f t="array" ref="L20">_xlfn.IFS($N$4="Bull",AA20, $N$4="Bear",T20, $N$4="Base",AH20)</f>
        <v>-0.3</v>
      </c>
      <c r="M20" s="103" cm="1">
        <f t="array" ref="M20">_xlfn.IFS($N$4="Bull",AB20, $N$4="Bear",U20, $N$4="Base",AI20)</f>
        <v>-0.5</v>
      </c>
      <c r="N20" s="103" cm="1">
        <f t="array" ref="N20">_xlfn.IFS($N$4="Bull",AC20, $N$4="Bear",V20, $N$4="Base",AJ20)</f>
        <v>-1</v>
      </c>
      <c r="O20" s="48" cm="1">
        <f t="array" ref="O20">_xlfn.IFS($N$4="Bull",AD20, $N$4="Bear",W20, $N$4="Base",AK20)</f>
        <v>0</v>
      </c>
      <c r="P20" s="49" cm="1">
        <f t="array" ref="P20">_xlfn.IFS($N$4="Bull",AE20, $N$4="Bear",X20, $N$4="Base",AL20)</f>
        <v>0</v>
      </c>
      <c r="S20" s="39"/>
      <c r="T20" s="98">
        <v>-0.2</v>
      </c>
      <c r="U20" s="98">
        <v>-0.4</v>
      </c>
      <c r="V20" s="98">
        <v>-0.6</v>
      </c>
      <c r="W20" s="98">
        <v>-0.8</v>
      </c>
      <c r="X20" s="99">
        <v>-1</v>
      </c>
      <c r="Z20" s="39"/>
      <c r="AA20" s="98">
        <v>-0.5</v>
      </c>
      <c r="AB20" s="98">
        <v>-0.75</v>
      </c>
      <c r="AC20" s="98">
        <v>-1</v>
      </c>
      <c r="AD20" s="34">
        <v>0</v>
      </c>
      <c r="AE20" s="54">
        <v>0</v>
      </c>
      <c r="AG20" s="39"/>
      <c r="AH20" s="100">
        <v>-0.3</v>
      </c>
      <c r="AI20" s="100">
        <v>-0.5</v>
      </c>
      <c r="AJ20" s="100">
        <v>-1</v>
      </c>
      <c r="AK20" s="72">
        <v>0</v>
      </c>
      <c r="AL20" s="73">
        <v>0</v>
      </c>
    </row>
    <row r="21" spans="1:38" ht="15" customHeight="1" x14ac:dyDescent="0.2">
      <c r="B21" s="39" t="s">
        <v>36</v>
      </c>
      <c r="C21" s="30"/>
      <c r="D21" s="477">
        <f>('Income Statement'!D20-'Income Statement'!C20)/'Income Statement'!C19</f>
        <v>-3.2886869170055011E-2</v>
      </c>
      <c r="E21" s="477">
        <f>('Income Statement'!E20-'Income Statement'!D20)/'Income Statement'!D19</f>
        <v>-0.15501519756838905</v>
      </c>
      <c r="F21" s="30">
        <f>('Income Statement'!F20-'Income Statement'!E20)/'Income Statement'!E19</f>
        <v>0</v>
      </c>
      <c r="G21" s="42">
        <f>('Income Statement'!G20-'Income Statement'!F20)/'Income Statement'!F19</f>
        <v>0</v>
      </c>
      <c r="I21" s="481">
        <f t="shared" ref="I21:I27" si="3">AVERAGE(E21:G21)</f>
        <v>-5.1671732522796353E-2</v>
      </c>
      <c r="J21" s="480">
        <f t="shared" ref="J21:J27" si="4">AVERAGE(D21:G21)</f>
        <v>-4.6975516684611016E-2</v>
      </c>
      <c r="L21" s="47" cm="1">
        <f t="array" ref="L21">_xlfn.IFS($N$4="Bull",AA21, $N$4="Bear",T21, $N$4="Base",AH21)</f>
        <v>0.02</v>
      </c>
      <c r="M21" s="48" cm="1">
        <f t="array" ref="M21">_xlfn.IFS($N$4="Bull",AB21, $N$4="Bear",U21, $N$4="Base",AI21)</f>
        <v>0.02</v>
      </c>
      <c r="N21" s="48" cm="1">
        <f t="array" ref="N21">_xlfn.IFS($N$4="Bull",AC21, $N$4="Bear",V21, $N$4="Base",AJ21)</f>
        <v>0.02</v>
      </c>
      <c r="O21" s="48" cm="1">
        <f t="array" ref="O21">_xlfn.IFS($N$4="Bull",AD21, $N$4="Bear",W21, $N$4="Base",AK21)</f>
        <v>0.02</v>
      </c>
      <c r="P21" s="49" cm="1">
        <f t="array" ref="P21">_xlfn.IFS($N$4="Bull",AE21, $N$4="Bear",X21, $N$4="Base",AL21)</f>
        <v>0.02</v>
      </c>
      <c r="S21" s="39"/>
      <c r="T21" s="34">
        <v>0.02</v>
      </c>
      <c r="U21" s="34">
        <v>0.03</v>
      </c>
      <c r="V21" s="34">
        <v>0</v>
      </c>
      <c r="W21" s="34">
        <v>0.01</v>
      </c>
      <c r="X21" s="54">
        <v>0</v>
      </c>
      <c r="Z21" s="39"/>
      <c r="AA21" s="34">
        <v>0</v>
      </c>
      <c r="AB21" s="34">
        <v>0.01</v>
      </c>
      <c r="AC21" s="98">
        <v>-0.04</v>
      </c>
      <c r="AD21" s="98">
        <v>-0.06</v>
      </c>
      <c r="AE21" s="99">
        <v>-0.04</v>
      </c>
      <c r="AG21" s="39"/>
      <c r="AH21" s="34">
        <v>0.02</v>
      </c>
      <c r="AI21" s="34">
        <v>0.02</v>
      </c>
      <c r="AJ21" s="98">
        <v>0.02</v>
      </c>
      <c r="AK21" s="98">
        <v>0.02</v>
      </c>
      <c r="AL21" s="99">
        <v>0.02</v>
      </c>
    </row>
    <row r="22" spans="1:38" ht="15" customHeight="1" x14ac:dyDescent="0.2">
      <c r="B22" s="39" t="s">
        <v>33</v>
      </c>
      <c r="C22" s="30"/>
      <c r="D22" s="477">
        <f>('Income Statement'!D21-'Income Statement'!C21)/'Income Statement'!C21</f>
        <v>-0.17133956386292834</v>
      </c>
      <c r="E22" s="30">
        <f>('Income Statement'!E21-'Income Statement'!D21)/'Income Statement'!D21</f>
        <v>2.6315789473684209E-2</v>
      </c>
      <c r="F22" s="30">
        <f>('Income Statement'!F21-'Income Statement'!E21)/'Income Statement'!E21</f>
        <v>0.20586080586080585</v>
      </c>
      <c r="G22" s="480">
        <f>('Income Statement'!G21-'Income Statement'!F21)/'Income Statement'!F21</f>
        <v>-0.31834750911300119</v>
      </c>
      <c r="I22" s="481">
        <f t="shared" si="3"/>
        <v>-2.8723637926170376E-2</v>
      </c>
      <c r="J22" s="480">
        <f t="shared" si="4"/>
        <v>-6.4377619410359868E-2</v>
      </c>
      <c r="L22" s="47" cm="1">
        <f t="array" ref="L22">_xlfn.IFS($N$4="Bull",T22, $N$4="Bear",AA22, $N$4="Base",AH22)</f>
        <v>0.01</v>
      </c>
      <c r="M22" s="48" cm="1">
        <f t="array" ref="M22">_xlfn.IFS($N$4="Bull",U22, $N$4="Bear",AB22, $N$4="Base",AI22)</f>
        <v>0.01</v>
      </c>
      <c r="N22" s="48" cm="1">
        <f t="array" ref="N22">_xlfn.IFS($N$4="Bull",V22, $N$4="Bear",AC22, $N$4="Base",AJ22)</f>
        <v>0.02</v>
      </c>
      <c r="O22" s="48" cm="1">
        <f t="array" ref="O22">_xlfn.IFS($N$4="Bull",W22, $N$4="Bear",AD22, $N$4="Base",AK22)</f>
        <v>0.02</v>
      </c>
      <c r="P22" s="49" cm="1">
        <f t="array" ref="P22">_xlfn.IFS($N$4="Bull",X22, $N$4="Bear",AE22, $N$4="Base",AL22)</f>
        <v>0.01</v>
      </c>
      <c r="S22" s="39"/>
      <c r="T22" s="34">
        <v>0.03</v>
      </c>
      <c r="U22" s="34">
        <v>0.03</v>
      </c>
      <c r="V22" s="34">
        <v>0.03</v>
      </c>
      <c r="W22" s="34">
        <v>0.03</v>
      </c>
      <c r="X22" s="54">
        <v>0.03</v>
      </c>
      <c r="Z22" s="39"/>
      <c r="AA22" s="34">
        <v>0.01</v>
      </c>
      <c r="AB22" s="34">
        <v>0.01</v>
      </c>
      <c r="AC22" s="34">
        <v>0.01</v>
      </c>
      <c r="AD22" s="34">
        <v>0.01</v>
      </c>
      <c r="AE22" s="54">
        <v>0.01</v>
      </c>
      <c r="AG22" s="39"/>
      <c r="AH22" s="34">
        <v>0.01</v>
      </c>
      <c r="AI22" s="34">
        <v>0.01</v>
      </c>
      <c r="AJ22" s="34">
        <v>0.02</v>
      </c>
      <c r="AK22" s="34">
        <v>0.02</v>
      </c>
      <c r="AL22" s="54">
        <v>0.01</v>
      </c>
    </row>
    <row r="23" spans="1:38" ht="15" customHeight="1" x14ac:dyDescent="0.2">
      <c r="B23" s="39" t="s">
        <v>37</v>
      </c>
      <c r="C23" s="30"/>
      <c r="D23" s="30">
        <f>('Income Statement'!D22-'Income Statement'!C22)/'Income Statement'!C22</f>
        <v>0.12287480680061824</v>
      </c>
      <c r="E23" s="30">
        <f>('Income Statement'!E22-'Income Statement'!D22)/'Income Statement'!D22</f>
        <v>0.1338609772883689</v>
      </c>
      <c r="F23" s="30">
        <f>('Income Statement'!F22-'Income Statement'!E22)/'Income Statement'!E22</f>
        <v>9.9848254931714717E-2</v>
      </c>
      <c r="G23" s="42">
        <f>('Income Statement'!G22-'Income Statement'!F22)/'Income Statement'!F22</f>
        <v>0.13852097130242827</v>
      </c>
      <c r="I23" s="475">
        <f t="shared" si="3"/>
        <v>0.12407673450750396</v>
      </c>
      <c r="J23" s="42">
        <f t="shared" si="4"/>
        <v>0.12377625258078254</v>
      </c>
      <c r="L23" s="47" cm="1">
        <f t="array" ref="L23">_xlfn.IFS($N$4="Bull",T23, $N$4="Bear",AA23, $N$4="Base",AH23)</f>
        <v>0.08</v>
      </c>
      <c r="M23" s="48" cm="1">
        <f t="array" ref="M23">_xlfn.IFS($N$4="Bull",U23, $N$4="Bear",AB23, $N$4="Base",AI23)</f>
        <v>0.08</v>
      </c>
      <c r="N23" s="48" cm="1">
        <f t="array" ref="N23">_xlfn.IFS($N$4="Bull",V23, $N$4="Bear",AC23, $N$4="Base",AJ23)</f>
        <v>0.08</v>
      </c>
      <c r="O23" s="48" cm="1">
        <f t="array" ref="O23">_xlfn.IFS($N$4="Bull",W23, $N$4="Bear",AD23, $N$4="Base",AK23)</f>
        <v>7.0000000000000007E-2</v>
      </c>
      <c r="P23" s="49" cm="1">
        <f t="array" ref="P23">_xlfn.IFS($N$4="Bull",X23, $N$4="Bear",AE23, $N$4="Base",AL23)</f>
        <v>7.0000000000000007E-2</v>
      </c>
      <c r="S23" s="39"/>
      <c r="T23" s="34">
        <v>0.12</v>
      </c>
      <c r="U23" s="34">
        <v>0.11</v>
      </c>
      <c r="V23" s="34">
        <v>0.105</v>
      </c>
      <c r="W23" s="34">
        <v>0.1</v>
      </c>
      <c r="X23" s="54">
        <v>0.09</v>
      </c>
      <c r="Z23" s="39"/>
      <c r="AA23" s="97">
        <v>0.08</v>
      </c>
      <c r="AB23" s="97">
        <v>7.4999999999999997E-2</v>
      </c>
      <c r="AC23" s="97">
        <v>7.0000000000000007E-2</v>
      </c>
      <c r="AD23" s="97">
        <v>6.5000000000000002E-2</v>
      </c>
      <c r="AE23" s="73">
        <v>0.06</v>
      </c>
      <c r="AG23" s="39"/>
      <c r="AH23" s="34">
        <v>0.08</v>
      </c>
      <c r="AI23" s="34">
        <v>0.08</v>
      </c>
      <c r="AJ23" s="34">
        <v>0.08</v>
      </c>
      <c r="AK23" s="34">
        <v>7.0000000000000007E-2</v>
      </c>
      <c r="AL23" s="54">
        <v>7.0000000000000007E-2</v>
      </c>
    </row>
    <row r="24" spans="1:38" ht="15" customHeight="1" x14ac:dyDescent="0.2">
      <c r="B24" s="39" t="s">
        <v>38</v>
      </c>
      <c r="C24" s="30"/>
      <c r="D24" s="477">
        <f>('Income Statement'!D24-'Income Statement'!C24)/'Income Statement'!C24</f>
        <v>-0.50202808112324493</v>
      </c>
      <c r="E24" s="477">
        <f>('Income Statement'!E24-'Income Statement'!D24)/'Income Statement'!D24</f>
        <v>-1</v>
      </c>
      <c r="F24" s="30">
        <v>0</v>
      </c>
      <c r="G24" s="42">
        <v>0</v>
      </c>
      <c r="I24" s="481">
        <f t="shared" si="3"/>
        <v>-0.33333333333333331</v>
      </c>
      <c r="J24" s="480">
        <f t="shared" si="4"/>
        <v>-0.37550702028081123</v>
      </c>
      <c r="L24" s="47" cm="1">
        <f t="array" ref="L24">_xlfn.IFS($N$4="Bull",T24, $N$4="Bear",AA24, $N$4="Base",AH24)</f>
        <v>0</v>
      </c>
      <c r="M24" s="48" cm="1">
        <f t="array" ref="M24">_xlfn.IFS($N$4="Bull",U24, $N$4="Bear",AB24, $N$4="Base",AI24)</f>
        <v>0</v>
      </c>
      <c r="N24" s="48" cm="1">
        <f t="array" ref="N24">_xlfn.IFS($N$4="Bull",V24, $N$4="Bear",AC24, $N$4="Base",AJ24)</f>
        <v>0</v>
      </c>
      <c r="O24" s="48" cm="1">
        <f t="array" ref="O24">_xlfn.IFS($N$4="Bull",W24, $N$4="Bear",AD24, $N$4="Base",AK24)</f>
        <v>0</v>
      </c>
      <c r="P24" s="49" cm="1">
        <f t="array" ref="P24">_xlfn.IFS($N$4="Bull",X24, $N$4="Bear",AE24, $N$4="Base",AL24)</f>
        <v>0</v>
      </c>
      <c r="S24" s="39"/>
      <c r="T24" s="34">
        <v>0</v>
      </c>
      <c r="U24" s="34">
        <v>0</v>
      </c>
      <c r="V24" s="34">
        <v>0</v>
      </c>
      <c r="W24" s="34">
        <v>0</v>
      </c>
      <c r="X24" s="54">
        <v>0</v>
      </c>
      <c r="Z24" s="39"/>
      <c r="AA24" s="72">
        <v>0</v>
      </c>
      <c r="AB24" s="72">
        <v>0</v>
      </c>
      <c r="AC24" s="72">
        <v>0</v>
      </c>
      <c r="AD24" s="72">
        <v>0</v>
      </c>
      <c r="AE24" s="73">
        <v>0</v>
      </c>
      <c r="AG24" s="39"/>
      <c r="AH24" s="34">
        <v>0</v>
      </c>
      <c r="AI24" s="34">
        <v>0</v>
      </c>
      <c r="AJ24" s="34">
        <v>0</v>
      </c>
      <c r="AK24" s="34">
        <v>0</v>
      </c>
      <c r="AL24" s="54">
        <v>0</v>
      </c>
    </row>
    <row r="25" spans="1:38" ht="15" customHeight="1" x14ac:dyDescent="0.2">
      <c r="B25" s="39" t="s">
        <v>39</v>
      </c>
      <c r="C25" s="30"/>
      <c r="D25" s="31">
        <f>'Income Statement'!C25</f>
        <v>0</v>
      </c>
      <c r="E25" s="31">
        <f>'Income Statement'!D25</f>
        <v>0</v>
      </c>
      <c r="F25" s="31">
        <f>'Income Statement'!E25</f>
        <v>0</v>
      </c>
      <c r="G25" s="43">
        <f>'Income Statement'!F25</f>
        <v>0</v>
      </c>
      <c r="I25" s="483">
        <f t="shared" si="3"/>
        <v>0</v>
      </c>
      <c r="J25" s="46">
        <f t="shared" si="4"/>
        <v>0</v>
      </c>
      <c r="L25" s="47" cm="1">
        <f t="array" ref="L25">_xlfn.IFS($N$4="Bull",T25, $N$4="Bear",AA25, $N$4="Base",AH25)</f>
        <v>0</v>
      </c>
      <c r="M25" s="48" cm="1">
        <f t="array" ref="M25">_xlfn.IFS($N$4="Bull",U25, $N$4="Bear",AB25, $N$4="Base",AI25)</f>
        <v>0</v>
      </c>
      <c r="N25" s="48" cm="1">
        <f t="array" ref="N25">_xlfn.IFS($N$4="Bull",V25, $N$4="Bear",AC25, $N$4="Base",AJ25)</f>
        <v>0</v>
      </c>
      <c r="O25" s="48" cm="1">
        <f t="array" ref="O25">_xlfn.IFS($N$4="Bull",W25, $N$4="Bear",AD25, $N$4="Base",AK25)</f>
        <v>0</v>
      </c>
      <c r="P25" s="49" cm="1">
        <f t="array" ref="P25">_xlfn.IFS($N$4="Bull",X25, $N$4="Bear",AE25, $N$4="Base",AL25)</f>
        <v>0</v>
      </c>
      <c r="S25" s="39"/>
      <c r="T25" s="34">
        <v>0</v>
      </c>
      <c r="U25" s="34">
        <v>0</v>
      </c>
      <c r="V25" s="34">
        <v>0</v>
      </c>
      <c r="W25" s="34">
        <v>0</v>
      </c>
      <c r="X25" s="54">
        <v>0</v>
      </c>
      <c r="Z25" s="39"/>
      <c r="AA25" s="72">
        <v>0</v>
      </c>
      <c r="AB25" s="72">
        <v>0</v>
      </c>
      <c r="AC25" s="72">
        <v>0</v>
      </c>
      <c r="AD25" s="72">
        <v>0</v>
      </c>
      <c r="AE25" s="73">
        <v>0</v>
      </c>
      <c r="AG25" s="39"/>
      <c r="AH25" s="34">
        <v>0</v>
      </c>
      <c r="AI25" s="34">
        <v>0</v>
      </c>
      <c r="AJ25" s="34">
        <v>0</v>
      </c>
      <c r="AK25" s="34">
        <v>0</v>
      </c>
      <c r="AL25" s="54">
        <v>0</v>
      </c>
    </row>
    <row r="26" spans="1:38" ht="15" customHeight="1" x14ac:dyDescent="0.2">
      <c r="B26" s="39" t="s">
        <v>33</v>
      </c>
      <c r="C26" s="30"/>
      <c r="D26" s="30">
        <f>('Income Statement'!D26-'Income Statement'!C26)/'Income Statement'!C26</f>
        <v>1.3574660633484163E-2</v>
      </c>
      <c r="E26" s="30">
        <f>('Income Statement'!E26-'Income Statement'!D26)/'Income Statement'!D26</f>
        <v>0.2544642857142857</v>
      </c>
      <c r="F26" s="30">
        <f>('Income Statement'!F26-'Income Statement'!E26)/'Income Statement'!E26</f>
        <v>0.35231316725978645</v>
      </c>
      <c r="G26" s="480">
        <f>('Income Statement'!G26-'Income Statement'!F26)/'Income Statement'!F26</f>
        <v>-0.24210526315789474</v>
      </c>
      <c r="I26" s="475">
        <f t="shared" si="3"/>
        <v>0.12155739660539248</v>
      </c>
      <c r="J26" s="42">
        <f t="shared" si="4"/>
        <v>9.4561712612415388E-2</v>
      </c>
      <c r="L26" s="47" cm="1">
        <f t="array" ref="L26">_xlfn.IFS($N$4="Bull",T26, $N$4="Bear",AA26, $N$4="Base",AH26)</f>
        <v>0.10805955460890393</v>
      </c>
      <c r="M26" s="48" cm="1">
        <f t="array" ref="M26">_xlfn.IFS($N$4="Bull",U26, $N$4="Bear",AB26, $N$4="Base",AI26)</f>
        <v>0.10805955460890393</v>
      </c>
      <c r="N26" s="48" cm="1">
        <f t="array" ref="N26">_xlfn.IFS($N$4="Bull",V26, $N$4="Bear",AC26, $N$4="Base",AJ26)</f>
        <v>0.10805955460890393</v>
      </c>
      <c r="O26" s="48" cm="1">
        <f t="array" ref="O26">_xlfn.IFS($N$4="Bull",W26, $N$4="Bear",AD26, $N$4="Base",AK26)</f>
        <v>0.10805955460890393</v>
      </c>
      <c r="P26" s="49" cm="1">
        <f t="array" ref="P26">_xlfn.IFS($N$4="Bull",X26, $N$4="Bear",AE26, $N$4="Base",AL26)</f>
        <v>0.10805955460890393</v>
      </c>
      <c r="S26" s="39"/>
      <c r="T26" s="30">
        <f>AVERAGEA($I$26:$J$26)</f>
        <v>0.10805955460890393</v>
      </c>
      <c r="U26" s="30">
        <f>AVERAGEA($I$26:$J$26)</f>
        <v>0.10805955460890393</v>
      </c>
      <c r="V26" s="30">
        <f>AVERAGEA($I$26:$J$26)</f>
        <v>0.10805955460890393</v>
      </c>
      <c r="W26" s="30">
        <f>AVERAGEA($I$26:$J$26)</f>
        <v>0.10805955460890393</v>
      </c>
      <c r="X26" s="30">
        <f>AVERAGEA($I$26:$J$26)</f>
        <v>0.10805955460890393</v>
      </c>
      <c r="Y26" s="478"/>
      <c r="Z26" s="39"/>
      <c r="AA26" s="30">
        <f>AVERAGE($I$26:$J$26)</f>
        <v>0.10805955460890393</v>
      </c>
      <c r="AB26" s="30">
        <f>AVERAGE($I$26:$J$26)</f>
        <v>0.10805955460890393</v>
      </c>
      <c r="AC26" s="30">
        <f>AVERAGE($I$26:$J$26)</f>
        <v>0.10805955460890393</v>
      </c>
      <c r="AD26" s="30">
        <f>AVERAGE($I$26:$J$26)</f>
        <v>0.10805955460890393</v>
      </c>
      <c r="AE26" s="42">
        <f>AVERAGE($I$26:$J$26)</f>
        <v>0.10805955460890393</v>
      </c>
      <c r="AG26" s="39"/>
      <c r="AH26" s="30">
        <f>AVERAGE($I$26:$J$26)</f>
        <v>0.10805955460890393</v>
      </c>
      <c r="AI26" s="30">
        <f>AVERAGE($I$26:$J$26)</f>
        <v>0.10805955460890393</v>
      </c>
      <c r="AJ26" s="30">
        <f>AVERAGE($I$26:$J$26)</f>
        <v>0.10805955460890393</v>
      </c>
      <c r="AK26" s="30">
        <f>AVERAGE($I$26:$J$26)</f>
        <v>0.10805955460890393</v>
      </c>
      <c r="AL26" s="42">
        <f>AVERAGE($I$26:$J$26)</f>
        <v>0.10805955460890393</v>
      </c>
    </row>
    <row r="27" spans="1:38" ht="15" customHeight="1" x14ac:dyDescent="0.2">
      <c r="B27" s="39" t="s">
        <v>40</v>
      </c>
      <c r="C27" s="30"/>
      <c r="D27" s="477">
        <f>('Income Statement'!D27-'Income Statement'!C27)/'Income Statement'!C27</f>
        <v>-1.1111111111111112</v>
      </c>
      <c r="E27" s="30">
        <f>('Income Statement'!E27-'Income Statement'!D27)/'Income Statement'!D27</f>
        <v>73</v>
      </c>
      <c r="F27" s="30">
        <f>('Income Statement'!F27-'Income Statement'!E27)/'Income Statement'!E27</f>
        <v>0.40540540540540543</v>
      </c>
      <c r="G27" s="42">
        <f>('Income Statement'!G27-'Income Statement'!F27)/'Income Statement'!F27</f>
        <v>1.8461538461538463</v>
      </c>
      <c r="I27" s="475">
        <f t="shared" si="3"/>
        <v>25.083853083853082</v>
      </c>
      <c r="J27" s="42">
        <f t="shared" si="4"/>
        <v>18.535112035112032</v>
      </c>
      <c r="L27" s="47" cm="1">
        <f t="array" ref="L27">_xlfn.IFS($N$4="Bull",T27, $N$4="Bear",AA27, $N$4="Base",AH27)</f>
        <v>0</v>
      </c>
      <c r="M27" s="48" cm="1">
        <f t="array" ref="M27">_xlfn.IFS($N$4="Bull",U27, $N$4="Bear",AB27, $N$4="Base",AI27)</f>
        <v>0</v>
      </c>
      <c r="N27" s="48" cm="1">
        <f t="array" ref="N27">_xlfn.IFS($N$4="Bull",V27, $N$4="Bear",AC27, $N$4="Base",AJ27)</f>
        <v>0</v>
      </c>
      <c r="O27" s="48" cm="1">
        <f t="array" ref="O27">_xlfn.IFS($N$4="Bull",W27, $N$4="Bear",AD27, $N$4="Base",AK27)</f>
        <v>0</v>
      </c>
      <c r="P27" s="49" cm="1">
        <f t="array" ref="P27">_xlfn.IFS($N$4="Bull",X27, $N$4="Bear",AE27, $N$4="Base",AL27)</f>
        <v>0</v>
      </c>
      <c r="S27" s="39"/>
      <c r="T27" s="34">
        <v>0.01</v>
      </c>
      <c r="U27" s="34">
        <v>0.01</v>
      </c>
      <c r="V27" s="34">
        <v>0.01</v>
      </c>
      <c r="W27" s="34">
        <v>0.01</v>
      </c>
      <c r="X27" s="54">
        <v>0.01</v>
      </c>
      <c r="Z27" s="39"/>
      <c r="AA27" s="100">
        <v>-0.01</v>
      </c>
      <c r="AB27" s="100">
        <v>-0.01</v>
      </c>
      <c r="AC27" s="100">
        <v>-0.01</v>
      </c>
      <c r="AD27" s="100">
        <v>-0.01</v>
      </c>
      <c r="AE27" s="135">
        <v>-0.01</v>
      </c>
      <c r="AG27" s="39"/>
      <c r="AH27" s="34">
        <v>0</v>
      </c>
      <c r="AI27" s="34">
        <v>0</v>
      </c>
      <c r="AJ27" s="34">
        <v>0</v>
      </c>
      <c r="AK27" s="34">
        <v>0</v>
      </c>
      <c r="AL27" s="54">
        <v>0</v>
      </c>
    </row>
    <row r="28" spans="1:38" ht="15" customHeight="1" x14ac:dyDescent="0.2">
      <c r="B28" s="39"/>
      <c r="C28" s="30"/>
      <c r="D28" s="30"/>
      <c r="E28" s="30"/>
      <c r="F28" s="30"/>
      <c r="G28" s="42"/>
      <c r="I28" s="475"/>
      <c r="J28" s="42"/>
      <c r="L28" s="47"/>
      <c r="M28" s="48"/>
      <c r="N28" s="48"/>
      <c r="O28" s="48"/>
      <c r="P28" s="49"/>
      <c r="S28" s="39"/>
      <c r="T28" s="34"/>
      <c r="U28" s="34"/>
      <c r="V28" s="34"/>
      <c r="W28" s="34"/>
      <c r="X28" s="54"/>
      <c r="Z28" s="39"/>
      <c r="AA28" s="29"/>
      <c r="AB28" s="29"/>
      <c r="AC28" s="29"/>
      <c r="AD28" s="29"/>
      <c r="AE28" s="38"/>
      <c r="AG28" s="39"/>
      <c r="AH28" s="34"/>
      <c r="AI28" s="34"/>
      <c r="AJ28" s="34"/>
      <c r="AK28" s="34"/>
      <c r="AL28" s="54"/>
    </row>
    <row r="29" spans="1:38" ht="15" customHeight="1" x14ac:dyDescent="0.2">
      <c r="A29" t="s">
        <v>21</v>
      </c>
      <c r="B29" s="336" t="s">
        <v>41</v>
      </c>
      <c r="C29" s="30"/>
      <c r="D29" s="30"/>
      <c r="E29" s="30"/>
      <c r="F29" s="30"/>
      <c r="G29" s="42"/>
      <c r="I29" s="475"/>
      <c r="J29" s="42"/>
      <c r="L29" s="47"/>
      <c r="M29" s="48"/>
      <c r="N29" s="48"/>
      <c r="O29" s="48"/>
      <c r="P29" s="49"/>
      <c r="S29" s="336"/>
      <c r="T29" s="34"/>
      <c r="U29" s="34"/>
      <c r="V29" s="34"/>
      <c r="W29" s="34"/>
      <c r="X29" s="54"/>
      <c r="Z29" s="336"/>
      <c r="AA29" s="29"/>
      <c r="AB29" s="29"/>
      <c r="AC29" s="29"/>
      <c r="AD29" s="29"/>
      <c r="AE29" s="38"/>
      <c r="AG29" s="336"/>
      <c r="AH29" s="34"/>
      <c r="AI29" s="34"/>
      <c r="AJ29" s="34"/>
      <c r="AK29" s="34"/>
      <c r="AL29" s="54"/>
    </row>
    <row r="30" spans="1:38" ht="15" customHeight="1" x14ac:dyDescent="0.2">
      <c r="B30" s="39" t="s">
        <v>42</v>
      </c>
      <c r="C30" s="30"/>
      <c r="D30" s="30">
        <f>('Income Statement'!D30-'Income Statement'!C30)/'Income Statement'!C30</f>
        <v>0.19176276771004944</v>
      </c>
      <c r="E30" s="30">
        <f>('Income Statement'!E30-'Income Statement'!D30)/'Income Statement'!D30</f>
        <v>0.51575891622891901</v>
      </c>
      <c r="F30" s="30">
        <f>('Income Statement'!F30-'Income Statement'!E30)/'Income Statement'!E30</f>
        <v>0.14829001367989056</v>
      </c>
      <c r="G30" s="42">
        <f>('Income Statement'!G30-'Income Statement'!F30)/'Income Statement'!F30</f>
        <v>0.22444603288062903</v>
      </c>
      <c r="H30" s="30"/>
      <c r="I30" s="475">
        <f>AVERAGE(E30:G30)</f>
        <v>0.29616498759647952</v>
      </c>
      <c r="J30" s="42">
        <f>AVERAGE(D30:G30)</f>
        <v>0.27006443262487201</v>
      </c>
      <c r="L30" s="47" cm="1">
        <f t="array" ref="L30">_xlfn.IFS($N$4="Bull",T30, $N$4="Bear",AA30, $N$4="Base",AH30)</f>
        <v>0.2</v>
      </c>
      <c r="M30" s="48" cm="1">
        <f t="array" ref="M30">_xlfn.IFS($N$4="Bull",U30, $N$4="Bear",AB30, $N$4="Base",AI30)</f>
        <v>0.20499999999999999</v>
      </c>
      <c r="N30" s="48" cm="1">
        <f t="array" ref="N30">_xlfn.IFS($N$4="Bull",V30, $N$4="Bear",AC30, $N$4="Base",AJ30)</f>
        <v>0.21</v>
      </c>
      <c r="O30" s="48" cm="1">
        <f t="array" ref="O30">_xlfn.IFS($N$4="Bull",W30, $N$4="Bear",AD30, $N$4="Base",AK30)</f>
        <v>0.215</v>
      </c>
      <c r="P30" s="49" cm="1">
        <f t="array" ref="P30">_xlfn.IFS($N$4="Bull",X30, $N$4="Bear",AE30, $N$4="Base",AL30)</f>
        <v>0.22</v>
      </c>
      <c r="S30" s="39"/>
      <c r="T30" s="34">
        <v>0.26</v>
      </c>
      <c r="U30" s="34">
        <v>0.27</v>
      </c>
      <c r="V30" s="34">
        <v>0.28000000000000003</v>
      </c>
      <c r="W30" s="34">
        <v>0.28999999999999998</v>
      </c>
      <c r="X30" s="54">
        <v>0.3</v>
      </c>
      <c r="Z30" s="39"/>
      <c r="AA30" s="34">
        <v>0.15</v>
      </c>
      <c r="AB30" s="34">
        <v>0.17</v>
      </c>
      <c r="AC30" s="34">
        <v>0.15</v>
      </c>
      <c r="AD30" s="34">
        <v>0.11</v>
      </c>
      <c r="AE30" s="109">
        <v>0.09</v>
      </c>
      <c r="AG30" s="39"/>
      <c r="AH30" s="34">
        <v>0.2</v>
      </c>
      <c r="AI30" s="34">
        <v>0.20499999999999999</v>
      </c>
      <c r="AJ30" s="34">
        <v>0.21</v>
      </c>
      <c r="AK30" s="34">
        <v>0.215</v>
      </c>
      <c r="AL30" s="109">
        <v>0.22</v>
      </c>
    </row>
    <row r="31" spans="1:38" ht="15" customHeight="1" x14ac:dyDescent="0.2">
      <c r="B31" s="39" t="s">
        <v>29</v>
      </c>
      <c r="C31" s="30"/>
      <c r="D31" s="30">
        <f>('Income Statement'!D31-'Income Statement'!C31)/'Income Statement'!C31</f>
        <v>5.3978756747344592E-2</v>
      </c>
      <c r="E31" s="30">
        <f>('Income Statement'!E31-'Income Statement'!D31)/'Income Statement'!D31</f>
        <v>0.10176771848670081</v>
      </c>
      <c r="F31" s="30">
        <f>('Income Statement'!F31-'Income Statement'!E31)/'Income Statement'!E31</f>
        <v>4.7833258359574152E-2</v>
      </c>
      <c r="G31" s="42">
        <f>('Income Statement'!G31-'Income Statement'!F31)/'Income Statement'!F31</f>
        <v>2.375500858614768E-2</v>
      </c>
      <c r="I31" s="475">
        <f t="shared" ref="I31:I35" si="5">AVERAGE(E31:G31)</f>
        <v>5.7785328477474217E-2</v>
      </c>
      <c r="J31" s="42">
        <f t="shared" ref="J31:J35" si="6">AVERAGE(D31:G31)</f>
        <v>5.6833685544941802E-2</v>
      </c>
      <c r="L31" s="47" cm="1">
        <f t="array" ref="L31">_xlfn.IFS($N$4="Bull",T31, $N$4="Bear",AA31, $N$4="Base",AH31)</f>
        <v>3.2000000000000001E-2</v>
      </c>
      <c r="M31" s="48" cm="1">
        <f t="array" ref="M31">_xlfn.IFS($N$4="Bull",U31, $N$4="Bear",AB31, $N$4="Base",AI31)</f>
        <v>3.4000000000000002E-2</v>
      </c>
      <c r="N31" s="48" cm="1">
        <f t="array" ref="N31">_xlfn.IFS($N$4="Bull",V31, $N$4="Bear",AC31, $N$4="Base",AJ31)</f>
        <v>4.1000000000000002E-2</v>
      </c>
      <c r="O31" s="48" cm="1">
        <f t="array" ref="O31">_xlfn.IFS($N$4="Bull",W31, $N$4="Bear",AD31, $N$4="Base",AK31)</f>
        <v>5.5E-2</v>
      </c>
      <c r="P31" s="49" cm="1">
        <f t="array" ref="P31">_xlfn.IFS($N$4="Bull",X31, $N$4="Bear",AE31, $N$4="Base",AL31)</f>
        <v>5.5E-2</v>
      </c>
      <c r="S31" s="39"/>
      <c r="T31" s="34">
        <v>0.03</v>
      </c>
      <c r="U31" s="34">
        <v>3.2000000000000001E-2</v>
      </c>
      <c r="V31" s="34">
        <v>3.7999999999999999E-2</v>
      </c>
      <c r="W31" s="34">
        <v>4.1000000000000002E-2</v>
      </c>
      <c r="X31" s="54">
        <v>4.3999999999999997E-2</v>
      </c>
      <c r="Z31" s="39"/>
      <c r="AA31" s="34">
        <v>0.02</v>
      </c>
      <c r="AB31" s="34">
        <v>2.1999999999999999E-2</v>
      </c>
      <c r="AC31" s="34">
        <v>2.5000000000000001E-2</v>
      </c>
      <c r="AD31" s="34">
        <v>2.5000000000000001E-2</v>
      </c>
      <c r="AE31" s="109">
        <v>0.02</v>
      </c>
      <c r="AG31" s="39"/>
      <c r="AH31" s="34">
        <v>3.2000000000000001E-2</v>
      </c>
      <c r="AI31" s="34">
        <v>3.4000000000000002E-2</v>
      </c>
      <c r="AJ31" s="34">
        <v>4.1000000000000002E-2</v>
      </c>
      <c r="AK31" s="34">
        <v>5.5E-2</v>
      </c>
      <c r="AL31" s="54">
        <v>5.5E-2</v>
      </c>
    </row>
    <row r="32" spans="1:38" ht="15" customHeight="1" x14ac:dyDescent="0.2">
      <c r="B32" s="39" t="s">
        <v>26</v>
      </c>
      <c r="C32" s="30"/>
      <c r="D32" s="477">
        <f>('Income Statement'!D32-'Income Statement'!C32)/'Income Statement'!C32</f>
        <v>-0.52631578947368418</v>
      </c>
      <c r="E32" s="30">
        <f>('Income Statement'!E32-'Income Statement'!D32)/'Income Statement'!D32</f>
        <v>0.1111111111111111</v>
      </c>
      <c r="F32" s="30">
        <f>('Income Statement'!F32-'Income Statement'!E32)/'Income Statement'!E32</f>
        <v>6.9</v>
      </c>
      <c r="G32" s="42">
        <f>('Income Statement'!G32-'Income Statement'!F32)/'Income Statement'!F32</f>
        <v>-0.569620253164557</v>
      </c>
      <c r="I32" s="475">
        <f t="shared" si="5"/>
        <v>2.1471636193155179</v>
      </c>
      <c r="J32" s="42">
        <f t="shared" si="6"/>
        <v>1.4787937671182174</v>
      </c>
      <c r="L32" s="47" cm="1">
        <f t="array" ref="L32">_xlfn.IFS($N$4="Bull",T32, $N$4="Bear",AA32, $N$4="Base",AH33)</f>
        <v>0</v>
      </c>
      <c r="M32" s="48" cm="1">
        <f t="array" ref="M32">_xlfn.IFS($N$4="Bull",U32, $N$4="Bear",AB32, $N$4="Base",AI33)</f>
        <v>0</v>
      </c>
      <c r="N32" s="48" cm="1">
        <f t="array" ref="N32">_xlfn.IFS($N$4="Bull",V32, $N$4="Bear",AC32, $N$4="Base",AJ33)</f>
        <v>0</v>
      </c>
      <c r="O32" s="48" cm="1">
        <f t="array" ref="O32">_xlfn.IFS($N$4="Bull",W32, $N$4="Bear",AD32, $N$4="Base",AK33)</f>
        <v>0</v>
      </c>
      <c r="P32" s="49" cm="1">
        <f t="array" ref="P32">_xlfn.IFS($N$4="Bull",X32, $N$4="Bear",AE32, $N$4="Base",AL33)</f>
        <v>0</v>
      </c>
      <c r="S32" s="39"/>
      <c r="T32" s="98">
        <v>-0.15</v>
      </c>
      <c r="U32" s="98">
        <v>-0.1</v>
      </c>
      <c r="V32" s="34">
        <v>0.05</v>
      </c>
      <c r="W32" s="34">
        <v>0</v>
      </c>
      <c r="X32" s="54">
        <v>0.03</v>
      </c>
      <c r="Z32" s="39"/>
      <c r="AA32" s="34">
        <v>0</v>
      </c>
      <c r="AB32" s="34">
        <v>0</v>
      </c>
      <c r="AC32" s="34">
        <v>0</v>
      </c>
      <c r="AD32" s="98">
        <v>-0.05</v>
      </c>
      <c r="AE32" s="199">
        <v>-0.1</v>
      </c>
      <c r="AG32" s="39"/>
      <c r="AH32" s="98">
        <v>-0.2</v>
      </c>
      <c r="AI32" s="98">
        <v>-0.15</v>
      </c>
      <c r="AJ32" s="98">
        <v>-0.13</v>
      </c>
      <c r="AK32" s="98">
        <v>-0.1</v>
      </c>
      <c r="AL32" s="99">
        <v>-7.0000000000000007E-2</v>
      </c>
    </row>
    <row r="33" spans="1:38" ht="15" customHeight="1" x14ac:dyDescent="0.2">
      <c r="B33" s="39" t="s">
        <v>25</v>
      </c>
      <c r="C33" s="30"/>
      <c r="D33" s="477">
        <f>('Income Statement'!D33-'Income Statement'!C33)/'Income Statement'!C33</f>
        <v>-0.15228426395939088</v>
      </c>
      <c r="E33" s="477">
        <f>('Income Statement'!E33-'Income Statement'!D33)/'Income Statement'!D33</f>
        <v>-1</v>
      </c>
      <c r="F33" s="31">
        <f>'Income Statement'!F33</f>
        <v>0</v>
      </c>
      <c r="G33" s="43">
        <f>'Income Statement'!G33</f>
        <v>0</v>
      </c>
      <c r="I33" s="481">
        <f t="shared" si="5"/>
        <v>-0.33333333333333331</v>
      </c>
      <c r="J33" s="480">
        <f t="shared" si="6"/>
        <v>-0.28807106598984772</v>
      </c>
      <c r="L33" s="47" cm="1">
        <f t="array" ref="L33">_xlfn.IFS($N$4="Bull",T33, $N$4="Bear",AA33, $N$4="Base",AH33)</f>
        <v>0</v>
      </c>
      <c r="M33" s="48" cm="1">
        <f t="array" ref="M33">_xlfn.IFS($N$4="Bull",U33, $N$4="Bear",AB33, $N$4="Base",AI33)</f>
        <v>0</v>
      </c>
      <c r="N33" s="48" cm="1">
        <f t="array" ref="N33">_xlfn.IFS($N$4="Bull",V33, $N$4="Bear",AC33, $N$4="Base",AJ33)</f>
        <v>0</v>
      </c>
      <c r="O33" s="48" cm="1">
        <f t="array" ref="O33">_xlfn.IFS($N$4="Bull",W33, $N$4="Bear",AD33, $N$4="Base",AK33)</f>
        <v>0</v>
      </c>
      <c r="P33" s="49" cm="1">
        <f t="array" ref="P33">_xlfn.IFS($N$4="Bull",X33, $N$4="Bear",AE33, $N$4="Base",AL33)</f>
        <v>0</v>
      </c>
      <c r="S33" s="39"/>
      <c r="T33" s="34">
        <v>0</v>
      </c>
      <c r="U33" s="34">
        <v>0</v>
      </c>
      <c r="V33" s="34">
        <v>0</v>
      </c>
      <c r="W33" s="34">
        <v>0</v>
      </c>
      <c r="X33" s="54">
        <v>0</v>
      </c>
      <c r="Z33" s="39"/>
      <c r="AA33" s="34">
        <v>0</v>
      </c>
      <c r="AB33" s="34">
        <v>0</v>
      </c>
      <c r="AC33" s="34">
        <v>0</v>
      </c>
      <c r="AD33" s="34">
        <v>0</v>
      </c>
      <c r="AE33" s="109">
        <v>0</v>
      </c>
      <c r="AG33" s="39"/>
      <c r="AH33" s="50">
        <f>G33</f>
        <v>0</v>
      </c>
      <c r="AI33" s="50">
        <f>G33</f>
        <v>0</v>
      </c>
      <c r="AJ33" s="50">
        <f>G33</f>
        <v>0</v>
      </c>
      <c r="AK33" s="50">
        <f>G33</f>
        <v>0</v>
      </c>
      <c r="AL33" s="51">
        <f>G33</f>
        <v>0</v>
      </c>
    </row>
    <row r="34" spans="1:38" ht="15" customHeight="1" x14ac:dyDescent="0.2">
      <c r="B34" s="39" t="s">
        <v>27</v>
      </c>
      <c r="C34" s="30"/>
      <c r="D34" s="30">
        <f>('Income Statement'!D34-'Income Statement'!C34)/'Income Statement'!C34</f>
        <v>0.24963715529753266</v>
      </c>
      <c r="E34" s="30">
        <f>('Income Statement'!E34-'Income Statement'!D34)/'Income Statement'!D34</f>
        <v>0.94541231126596981</v>
      </c>
      <c r="F34" s="477">
        <f>('Income Statement'!F34-'Income Statement'!E34)/'Income Statement'!E34</f>
        <v>-3.1243781094527363E-2</v>
      </c>
      <c r="G34" s="42">
        <f>('Income Statement'!G34-'Income Statement'!F34)/'Income Statement'!F34</f>
        <v>0.16762530813475759</v>
      </c>
      <c r="I34" s="475">
        <f t="shared" si="5"/>
        <v>0.36059794610206669</v>
      </c>
      <c r="J34" s="42">
        <f t="shared" si="6"/>
        <v>0.33285774840093318</v>
      </c>
      <c r="L34" s="47" cm="1">
        <f t="array" ref="L34">_xlfn.IFS($N$4="Bull",T34, $N$4="Bear",AA34, $N$4="Base",AH34)</f>
        <v>0</v>
      </c>
      <c r="M34" s="48" cm="1">
        <f t="array" ref="M34">_xlfn.IFS($N$4="Bull",U34, $N$4="Bear",AB34, $N$4="Base",AI34)</f>
        <v>0</v>
      </c>
      <c r="N34" s="48" cm="1">
        <f t="array" ref="N34">_xlfn.IFS($N$4="Bull",V34, $N$4="Bear",AC34, $N$4="Base",AJ34)</f>
        <v>0</v>
      </c>
      <c r="O34" s="48" cm="1">
        <f t="array" ref="O34">_xlfn.IFS($N$4="Bull",W34, $N$4="Bear",AD34, $N$4="Base",AK34)</f>
        <v>0</v>
      </c>
      <c r="P34" s="49" cm="1">
        <f t="array" ref="P34">_xlfn.IFS($N$4="Bull",X34, $N$4="Bear",AE34, $N$4="Base",AL34)</f>
        <v>0</v>
      </c>
      <c r="S34" s="39"/>
      <c r="T34" s="34">
        <v>0.33289999999999997</v>
      </c>
      <c r="U34" s="34">
        <v>0.33289999999999997</v>
      </c>
      <c r="V34" s="34">
        <v>0.33289999999999997</v>
      </c>
      <c r="W34" s="34">
        <v>0.33289999999999997</v>
      </c>
      <c r="X34" s="54">
        <v>0.33289999999999997</v>
      </c>
      <c r="Z34" s="39"/>
      <c r="AA34" s="34">
        <v>0</v>
      </c>
      <c r="AB34" s="34">
        <v>0</v>
      </c>
      <c r="AC34" s="34">
        <v>0</v>
      </c>
      <c r="AD34" s="34">
        <v>0.02</v>
      </c>
      <c r="AE34" s="109">
        <v>0.03</v>
      </c>
      <c r="AG34" s="39"/>
      <c r="AH34" s="34"/>
      <c r="AI34" s="34"/>
      <c r="AJ34" s="34"/>
      <c r="AK34" s="34"/>
      <c r="AL34" s="54"/>
    </row>
    <row r="35" spans="1:38" ht="15" customHeight="1" x14ac:dyDescent="0.2">
      <c r="B35" s="39" t="s">
        <v>43</v>
      </c>
      <c r="C35" s="30"/>
      <c r="D35" s="477">
        <f>('Income Statement'!D37-'Income Statement'!C37)/'Income Statement'!C37</f>
        <v>-0.2543576500968367</v>
      </c>
      <c r="E35" s="30">
        <f>('Income Statement'!E37-'Income Statement'!D37)/'Income Statement'!D37</f>
        <v>9.5238095238095247E-3</v>
      </c>
      <c r="F35" s="477">
        <f>('Income Statement'!F37-'Income Statement'!E37)/'Income Statement'!E37</f>
        <v>-0.16552315608919382</v>
      </c>
      <c r="G35" s="42">
        <f>('Income Statement'!G37-'Income Statement'!F37)/'Income Statement'!F37</f>
        <v>7.5025693730729703E-2</v>
      </c>
      <c r="I35" s="481">
        <f t="shared" si="5"/>
        <v>-2.6991217611551533E-2</v>
      </c>
      <c r="J35" s="480">
        <f t="shared" si="6"/>
        <v>-8.3832825732872832E-2</v>
      </c>
      <c r="L35" s="47" cm="1">
        <f t="array" ref="L35">_xlfn.IFS($N$4="Bull",T35, $N$4="Bear",AA35, $N$4="Base",AH35)</f>
        <v>5.5E-2</v>
      </c>
      <c r="M35" s="48" cm="1">
        <f t="array" ref="M35">_xlfn.IFS($N$4="Bull",U35, $N$4="Bear",AB35, $N$4="Base",AI35)</f>
        <v>4.2000000000000003E-2</v>
      </c>
      <c r="N35" s="48" cm="1">
        <f t="array" ref="N35">_xlfn.IFS($N$4="Bull",V35, $N$4="Bear",AC35, $N$4="Base",AJ35)</f>
        <v>3.5000000000000003E-2</v>
      </c>
      <c r="O35" s="48" cm="1">
        <f t="array" ref="O35">_xlfn.IFS($N$4="Bull",W35, $N$4="Bear",AD35, $N$4="Base",AK35)</f>
        <v>0.02</v>
      </c>
      <c r="P35" s="104" cm="1">
        <f t="array" ref="P35">_xlfn.IFS($N$4="Bull",X35, $N$4="Bear",AE35, $N$4="Base",AL35)</f>
        <v>-0.03</v>
      </c>
      <c r="S35" s="39"/>
      <c r="T35" s="34"/>
      <c r="U35" s="34"/>
      <c r="V35" s="34"/>
      <c r="W35" s="34"/>
      <c r="X35" s="54"/>
      <c r="Z35" s="39"/>
      <c r="AA35" s="34">
        <v>0.03</v>
      </c>
      <c r="AB35" s="34">
        <v>0.02</v>
      </c>
      <c r="AC35" s="34">
        <v>0.01</v>
      </c>
      <c r="AD35" s="34">
        <v>0</v>
      </c>
      <c r="AE35" s="109">
        <v>-0.05</v>
      </c>
      <c r="AG35" s="39"/>
      <c r="AH35" s="34">
        <v>5.5E-2</v>
      </c>
      <c r="AI35" s="34">
        <v>4.2000000000000003E-2</v>
      </c>
      <c r="AJ35" s="34">
        <v>3.5000000000000003E-2</v>
      </c>
      <c r="AK35" s="34">
        <v>0.02</v>
      </c>
      <c r="AL35" s="54">
        <v>-0.03</v>
      </c>
    </row>
    <row r="36" spans="1:38" ht="15" customHeight="1" x14ac:dyDescent="0.2">
      <c r="B36" s="39"/>
      <c r="C36" s="30"/>
      <c r="D36" s="30"/>
      <c r="E36" s="30"/>
      <c r="F36" s="30"/>
      <c r="G36" s="42"/>
      <c r="I36" s="475"/>
      <c r="J36" s="42"/>
      <c r="L36" s="47"/>
      <c r="M36" s="48"/>
      <c r="N36" s="48"/>
      <c r="O36" s="48"/>
      <c r="P36" s="49"/>
      <c r="S36" s="39"/>
      <c r="T36" s="30"/>
      <c r="U36" s="30"/>
      <c r="V36" s="30"/>
      <c r="W36" s="30"/>
      <c r="X36" s="42"/>
      <c r="Z36" s="39"/>
      <c r="AE36" s="40"/>
      <c r="AG36" s="39"/>
      <c r="AH36" s="30"/>
      <c r="AI36" s="30"/>
      <c r="AJ36" s="30"/>
      <c r="AK36" s="30"/>
      <c r="AL36" s="42"/>
    </row>
    <row r="37" spans="1:38" ht="15" customHeight="1" x14ac:dyDescent="0.2">
      <c r="A37" t="s">
        <v>21</v>
      </c>
      <c r="B37" s="336" t="s">
        <v>44</v>
      </c>
      <c r="C37" s="30"/>
      <c r="D37" s="30"/>
      <c r="E37" s="30"/>
      <c r="F37" s="30"/>
      <c r="G37" s="42"/>
      <c r="I37" s="475"/>
      <c r="J37" s="42"/>
      <c r="L37" s="47"/>
      <c r="M37" s="48"/>
      <c r="N37" s="48"/>
      <c r="O37" s="48"/>
      <c r="P37" s="49"/>
      <c r="S37" s="336"/>
      <c r="T37" s="30"/>
      <c r="U37" s="30"/>
      <c r="V37" s="30"/>
      <c r="W37" s="30"/>
      <c r="X37" s="42"/>
      <c r="Z37" s="336"/>
      <c r="AE37" s="40"/>
      <c r="AG37" s="336"/>
      <c r="AH37" s="30"/>
      <c r="AI37" s="30"/>
      <c r="AJ37" s="30"/>
      <c r="AK37" s="30"/>
      <c r="AL37" s="42"/>
    </row>
    <row r="38" spans="1:38" ht="15" customHeight="1" x14ac:dyDescent="0.2">
      <c r="B38" s="39" t="s">
        <v>45</v>
      </c>
      <c r="C38" s="30">
        <f>'Income Statement'!C40/'Income Statement'!C38</f>
        <v>0.67528923815760755</v>
      </c>
      <c r="D38" s="30">
        <f>'Income Statement'!D40/'Income Statement'!D38</f>
        <v>0.69153980810565263</v>
      </c>
      <c r="E38" s="30">
        <f>'Income Statement'!E40/'Income Statement'!E38</f>
        <v>0.68522776739302993</v>
      </c>
      <c r="F38" s="30">
        <f>'Income Statement'!F40/'Income Statement'!F38</f>
        <v>0.73854103860052367</v>
      </c>
      <c r="G38" s="42">
        <f>'Income Statement'!G40/'Income Statement'!G38</f>
        <v>0.7820698435794835</v>
      </c>
      <c r="I38" s="475">
        <f>AVERAGE(E38:G38)</f>
        <v>0.73527954985767907</v>
      </c>
      <c r="J38" s="42">
        <f>AVERAGE(C38:G38)</f>
        <v>0.71453353916725948</v>
      </c>
      <c r="L38" s="47" cm="1">
        <f t="array" ref="L38">_xlfn.IFS($N$4="Bull",T38, $N$4="Bear",AA38, $N$4="Base",AH38)</f>
        <v>0.77</v>
      </c>
      <c r="M38" s="48" cm="1">
        <f t="array" ref="M38">_xlfn.IFS($N$4="Bull",V38, $N$4="Bear",AB38, $N$4="Base",AI38)</f>
        <v>0.76</v>
      </c>
      <c r="N38" s="48" cm="1">
        <f t="array" ref="N38">_xlfn.IFS($N$4="Bull",W38, $N$4="Bear",AC38, $N$4="Base",AJ38)</f>
        <v>0.75</v>
      </c>
      <c r="O38" s="48" cm="1">
        <f t="array" ref="O38">_xlfn.IFS($N$4="Bull",W38, $N$4="Bear",AD38, $N$4="Base",AK38)</f>
        <v>0.74</v>
      </c>
      <c r="P38" s="49" cm="1">
        <f t="array" ref="P38">_xlfn.IFS($N$4="Bull",X38, $N$4="Bear",AE38, $N$4="Base",AL38)</f>
        <v>0.73</v>
      </c>
      <c r="S38" s="39"/>
      <c r="T38" s="34">
        <v>0.73</v>
      </c>
      <c r="U38" s="34">
        <v>0.74</v>
      </c>
      <c r="V38" s="34">
        <v>0.72</v>
      </c>
      <c r="W38" s="34">
        <v>0.70750000000000002</v>
      </c>
      <c r="X38" s="54">
        <v>0.70750000000000002</v>
      </c>
      <c r="Z38" s="39"/>
      <c r="AA38" s="34">
        <v>0.79</v>
      </c>
      <c r="AB38" s="34">
        <v>0.79500000000000004</v>
      </c>
      <c r="AC38" s="34">
        <v>0.8</v>
      </c>
      <c r="AD38" s="34">
        <v>0.80500000000000005</v>
      </c>
      <c r="AE38" s="109">
        <v>0.81</v>
      </c>
      <c r="AG38" s="39"/>
      <c r="AH38" s="34">
        <v>0.77</v>
      </c>
      <c r="AI38" s="34">
        <v>0.76</v>
      </c>
      <c r="AJ38" s="34">
        <v>0.75</v>
      </c>
      <c r="AK38" s="34">
        <v>0.74</v>
      </c>
      <c r="AL38" s="54">
        <v>0.73</v>
      </c>
    </row>
    <row r="39" spans="1:38" ht="15" customHeight="1" x14ac:dyDescent="0.2">
      <c r="B39" s="39" t="s">
        <v>46</v>
      </c>
      <c r="C39" s="30">
        <f>'Income Statement'!C41/'Income Statement'!C38</f>
        <v>0.19279863049897172</v>
      </c>
      <c r="D39" s="30">
        <f>'Income Statement'!D41/'Income Statement'!D38</f>
        <v>0.17841077799197855</v>
      </c>
      <c r="E39" s="30">
        <f>'Income Statement'!E41/'Income Statement'!E38</f>
        <v>0.18583463498322791</v>
      </c>
      <c r="F39" s="30">
        <f>'Income Statement'!F41/'Income Statement'!F38</f>
        <v>0.15639302204183375</v>
      </c>
      <c r="G39" s="42">
        <f>'Income Statement'!G41/'Income Statement'!G38</f>
        <v>0.1249508912331757</v>
      </c>
      <c r="I39" s="475">
        <f t="shared" ref="I39:I45" si="7">AVERAGE(E39:G39)</f>
        <v>0.15572618275274577</v>
      </c>
      <c r="J39" s="42">
        <f t="shared" ref="J39:J45" si="8">AVERAGE(C39:G39)</f>
        <v>0.16767759134983756</v>
      </c>
      <c r="L39" s="47" cm="1">
        <f t="array" ref="L39">_xlfn.IFS($N$4="Bull",T39, $N$4="Bear",AA39, $N$4="Base",AH39)</f>
        <v>0.14000000000000001</v>
      </c>
      <c r="M39" s="48" cm="1">
        <f t="array" ref="M39">_xlfn.IFS($N$4="Bull",U39, $N$4="Bear",AB39, $N$4="Base",AI39)</f>
        <v>0.14000000000000001</v>
      </c>
      <c r="N39" s="48" cm="1">
        <f t="array" ref="N39">_xlfn.IFS($N$4="Bull",V39, $N$4="Bear",AC39, $N$4="Base",AJ39)</f>
        <v>0.13</v>
      </c>
      <c r="O39" s="48" cm="1">
        <f t="array" ref="O39">_xlfn.IFS($N$4="Bull",W39, $N$4="Bear",AD39, $N$4="Base",AK39)</f>
        <v>0.12</v>
      </c>
      <c r="P39" s="49" cm="1">
        <f t="array" ref="P39">_xlfn.IFS($N$4="Bull",X39, $N$4="Bear",AE39, $N$4="Base",AL39)</f>
        <v>0.13</v>
      </c>
      <c r="S39" s="39"/>
      <c r="T39" s="34">
        <v>0.124</v>
      </c>
      <c r="U39" s="34">
        <v>0.123</v>
      </c>
      <c r="V39" s="34">
        <v>0.121</v>
      </c>
      <c r="W39" s="34">
        <v>0.12</v>
      </c>
      <c r="X39" s="54">
        <v>0.11899999999999999</v>
      </c>
      <c r="Z39" s="39"/>
      <c r="AA39" s="34">
        <v>0.13</v>
      </c>
      <c r="AB39" s="34">
        <v>0.13200000000000001</v>
      </c>
      <c r="AC39" s="34">
        <v>0.13500000000000001</v>
      </c>
      <c r="AD39" s="34">
        <v>0.13700000000000001</v>
      </c>
      <c r="AE39" s="109">
        <v>0.14000000000000001</v>
      </c>
      <c r="AG39" s="39"/>
      <c r="AH39" s="34">
        <v>0.14000000000000001</v>
      </c>
      <c r="AI39" s="34">
        <v>0.14000000000000001</v>
      </c>
      <c r="AJ39" s="34">
        <v>0.13</v>
      </c>
      <c r="AK39" s="34">
        <v>0.12</v>
      </c>
      <c r="AL39" s="54">
        <v>0.13</v>
      </c>
    </row>
    <row r="40" spans="1:38" ht="15" customHeight="1" x14ac:dyDescent="0.2">
      <c r="B40" s="39" t="s">
        <v>47</v>
      </c>
      <c r="C40" s="30">
        <f>'Income Statement'!C42/'Income Statement'!C38</f>
        <v>7.4851503349073409E-2</v>
      </c>
      <c r="D40" s="30">
        <f>'Income Statement'!D42/'Income Statement'!D38</f>
        <v>7.304615657337854E-2</v>
      </c>
      <c r="E40" s="30">
        <f>'Income Statement'!E42/'Income Statement'!E38</f>
        <v>7.5907100606867589E-2</v>
      </c>
      <c r="F40" s="30">
        <f>'Income Statement'!F42/'Income Statement'!F38</f>
        <v>6.006774009493325E-2</v>
      </c>
      <c r="G40" s="42">
        <f>'Income Statement'!G42/'Income Statement'!G38</f>
        <v>5.317206256820662E-2</v>
      </c>
      <c r="I40" s="475">
        <f t="shared" si="7"/>
        <v>6.3048967756669141E-2</v>
      </c>
      <c r="J40" s="42">
        <f t="shared" si="8"/>
        <v>6.7408912638491886E-2</v>
      </c>
      <c r="L40" s="47" cm="1">
        <f t="array" ref="L40">_xlfn.IFS($N$4="Bull",T40, $N$4="Bear",AA40, $N$4="Base",AH40)</f>
        <v>0.06</v>
      </c>
      <c r="M40" s="48" cm="1">
        <f t="array" ref="M40">_xlfn.IFS($N$4="Bull",U40, $N$4="Bear",AB40, $N$4="Base",AI40)</f>
        <v>6.3E-2</v>
      </c>
      <c r="N40" s="48" cm="1">
        <f t="array" ref="N40">_xlfn.IFS($N$4="Bull",V40, $N$4="Bear",AC40, $N$4="Base",AJ40)</f>
        <v>6.2E-2</v>
      </c>
      <c r="O40" s="48" cm="1">
        <f t="array" ref="O40">_xlfn.IFS($N$4="Bull",W40, $N$4="Bear",AD40, $N$4="Base",AK40)</f>
        <v>5.3999999999999999E-2</v>
      </c>
      <c r="P40" s="49" cm="1">
        <f t="array" ref="P40">_xlfn.IFS($N$4="Bull",X40, $N$4="Bear",AE40, $N$4="Base",AL40)</f>
        <v>5.0999999999999997E-2</v>
      </c>
      <c r="S40" s="39"/>
      <c r="T40" s="34">
        <v>5.0999999999999997E-2</v>
      </c>
      <c r="U40" s="34">
        <v>4.9500000000000002E-2</v>
      </c>
      <c r="V40" s="34">
        <v>4.8000000000000001E-2</v>
      </c>
      <c r="W40" s="34">
        <v>4.7E-2</v>
      </c>
      <c r="X40" s="54">
        <v>4.7E-2</v>
      </c>
      <c r="Z40" s="39"/>
      <c r="AA40" s="34">
        <v>5.6000000000000001E-2</v>
      </c>
      <c r="AB40" s="34">
        <v>5.7000000000000002E-2</v>
      </c>
      <c r="AC40" s="34">
        <v>5.8000000000000003E-2</v>
      </c>
      <c r="AD40" s="34">
        <v>5.8999999999999997E-2</v>
      </c>
      <c r="AE40" s="109">
        <v>0.06</v>
      </c>
      <c r="AG40" s="39"/>
      <c r="AH40" s="34">
        <v>0.06</v>
      </c>
      <c r="AI40" s="34">
        <v>6.3E-2</v>
      </c>
      <c r="AJ40" s="34">
        <v>6.2E-2</v>
      </c>
      <c r="AK40" s="34">
        <v>5.3999999999999999E-2</v>
      </c>
      <c r="AL40" s="54">
        <v>5.0999999999999997E-2</v>
      </c>
    </row>
    <row r="41" spans="1:38" ht="15" customHeight="1" x14ac:dyDescent="0.2">
      <c r="B41" s="39" t="s">
        <v>48</v>
      </c>
      <c r="C41" s="30">
        <f>'Income Statement'!C43/'Income Statement'!C38</f>
        <v>1.1477613483610795E-2</v>
      </c>
      <c r="D41" s="30">
        <f>'Income Statement'!D43/'Income Statement'!D38</f>
        <v>1.0392430587870326E-2</v>
      </c>
      <c r="E41" s="30">
        <f>'Income Statement'!E43/'Income Statement'!E38</f>
        <v>9.315545540675492E-3</v>
      </c>
      <c r="F41" s="30">
        <f>'Income Statement'!F43/'Income Statement'!F38</f>
        <v>6.8913609122656511E-3</v>
      </c>
      <c r="G41" s="42">
        <f>'Income Statement'!G43/'Income Statement'!G38</f>
        <v>6.3404874499818119E-3</v>
      </c>
      <c r="I41" s="475">
        <f t="shared" si="7"/>
        <v>7.515797967640985E-3</v>
      </c>
      <c r="J41" s="42">
        <f t="shared" si="8"/>
        <v>8.8834875948808172E-3</v>
      </c>
      <c r="L41" s="47" cm="1">
        <f t="array" ref="L41">_xlfn.IFS($N$4="Bull",T41, $N$4="Bear",AA41, $N$4="Base",AH41)</f>
        <v>6.1999999999999998E-3</v>
      </c>
      <c r="M41" s="48" cm="1">
        <f t="array" ref="M41">_xlfn.IFS($N$4="Bull",U41, $N$4="Bear",AB41, $N$4="Base",AI41)</f>
        <v>6.0000000000000001E-3</v>
      </c>
      <c r="N41" s="48" cm="1">
        <f t="array" ref="N41">_xlfn.IFS($N$4="Bull",V41, $N$4="Bear",AC41, $N$4="Base",AJ41)</f>
        <v>5.7999999999999996E-3</v>
      </c>
      <c r="O41" s="48" cm="1">
        <f t="array" ref="O41">_xlfn.IFS($N$4="Bull",W41, $N$4="Bear",AD41, $N$4="Base",AK41)</f>
        <v>5.5999999999999999E-3</v>
      </c>
      <c r="P41" s="49" cm="1">
        <f t="array" ref="P41">_xlfn.IFS($N$4="Bull",X41, $N$4="Bear",AE41, $N$4="Base",AL41)</f>
        <v>5.5999999999999999E-3</v>
      </c>
      <c r="S41" s="39"/>
      <c r="T41" s="34">
        <v>5.4999999999999997E-3</v>
      </c>
      <c r="U41" s="34">
        <v>5.0000000000000001E-3</v>
      </c>
      <c r="V41" s="34">
        <v>4.4999999999999997E-3</v>
      </c>
      <c r="W41" s="34">
        <v>4.0000000000000001E-3</v>
      </c>
      <c r="X41" s="54">
        <v>3.8E-3</v>
      </c>
      <c r="Z41" s="39"/>
      <c r="AA41" s="34">
        <v>6.4999999999999997E-3</v>
      </c>
      <c r="AB41" s="34">
        <v>6.3E-3</v>
      </c>
      <c r="AC41" s="34">
        <v>6.1000000000000004E-3</v>
      </c>
      <c r="AD41" s="34">
        <v>6.0000000000000001E-3</v>
      </c>
      <c r="AE41" s="109">
        <v>6.0000000000000001E-3</v>
      </c>
      <c r="AG41" s="39"/>
      <c r="AH41" s="34">
        <v>6.1999999999999998E-3</v>
      </c>
      <c r="AI41" s="34">
        <v>6.0000000000000001E-3</v>
      </c>
      <c r="AJ41" s="34">
        <v>5.7999999999999996E-3</v>
      </c>
      <c r="AK41" s="34">
        <v>5.5999999999999999E-3</v>
      </c>
      <c r="AL41" s="54">
        <v>5.5999999999999999E-3</v>
      </c>
    </row>
    <row r="42" spans="1:38" ht="15" customHeight="1" x14ac:dyDescent="0.2">
      <c r="B42" s="39" t="s">
        <v>49</v>
      </c>
      <c r="C42" s="477">
        <f>'Income Statement'!C46/'Income Statement'!C38</f>
        <v>-8.0998173232688792E-4</v>
      </c>
      <c r="D42" s="30">
        <f>'Income Statement'!D46/'Income Statement'!D38</f>
        <v>0</v>
      </c>
      <c r="E42" s="30">
        <f>'Income Statement'!E46/'Income Statement'!E38</f>
        <v>0</v>
      </c>
      <c r="F42" s="30">
        <f>'Income Statement'!F46/'Income Statement'!F38</f>
        <v>0</v>
      </c>
      <c r="G42" s="42">
        <f>'Income Statement'!G46/'Income Statement'!G38</f>
        <v>0</v>
      </c>
      <c r="I42" s="475">
        <f t="shared" si="7"/>
        <v>0</v>
      </c>
      <c r="J42" s="480">
        <f t="shared" si="8"/>
        <v>-1.6199634646537757E-4</v>
      </c>
      <c r="L42" s="47" cm="1">
        <f t="array" ref="L42">_xlfn.IFS($N$4="Bull",T42, $N$4="Bear",AA42, $N$4="Base",AH42)</f>
        <v>0</v>
      </c>
      <c r="M42" s="48" cm="1">
        <f t="array" ref="M42">_xlfn.IFS($N$4="Bull",U42, $N$4="Bear",AB42, $N$4="Base",AI42)</f>
        <v>0</v>
      </c>
      <c r="N42" s="48" cm="1">
        <f t="array" ref="N42">_xlfn.IFS($N$4="Bull",V42, $N$4="Bear",AC42, $N$4="Base",AJ42)</f>
        <v>0</v>
      </c>
      <c r="O42" s="103" cm="1">
        <f t="array" ref="O42">_xlfn.IFS($N$4="Bull",W42, $N$4="Bear",AD42, $N$4="Base",AK42)</f>
        <v>-1.6199634646537757E-4</v>
      </c>
      <c r="P42" s="49" cm="1">
        <f t="array" ref="P42">_xlfn.IFS($N$4="Bull",X42, $N$4="Bear",AE42, $N$4="Base",AL42)</f>
        <v>0</v>
      </c>
      <c r="S42" s="39"/>
      <c r="T42" s="34">
        <v>0</v>
      </c>
      <c r="U42" s="34">
        <v>0</v>
      </c>
      <c r="V42" s="34">
        <v>0</v>
      </c>
      <c r="W42" s="34">
        <v>0</v>
      </c>
      <c r="X42" s="54">
        <v>0</v>
      </c>
      <c r="Z42" s="39"/>
      <c r="AA42" s="34">
        <v>0</v>
      </c>
      <c r="AB42" s="34">
        <v>0</v>
      </c>
      <c r="AC42" s="34">
        <v>0</v>
      </c>
      <c r="AD42" s="34">
        <v>-2.0000000000000001E-4</v>
      </c>
      <c r="AE42" s="109">
        <v>0</v>
      </c>
      <c r="AG42" s="39"/>
      <c r="AH42" s="50">
        <f>G42</f>
        <v>0</v>
      </c>
      <c r="AI42" s="50">
        <f>H42</f>
        <v>0</v>
      </c>
      <c r="AJ42" s="50">
        <f>I42</f>
        <v>0</v>
      </c>
      <c r="AK42" s="101">
        <f>J42</f>
        <v>-1.6199634646537757E-4</v>
      </c>
      <c r="AL42" s="51">
        <f>K42</f>
        <v>0</v>
      </c>
    </row>
    <row r="43" spans="1:38" ht="15" customHeight="1" x14ac:dyDescent="0.2">
      <c r="B43" s="39" t="s">
        <v>50</v>
      </c>
      <c r="C43" s="477">
        <f>'Income Statement'!C47/'Income Statement'!C38</f>
        <v>-6.9394179620629829E-3</v>
      </c>
      <c r="D43" s="477">
        <f>'Income Statement'!D47/'Income Statement'!D38</f>
        <v>-6.8027210884353739E-3</v>
      </c>
      <c r="E43" s="477">
        <f>'Income Statement'!E47/'Income Statement'!E38</f>
        <v>-7.4053209740608918E-3</v>
      </c>
      <c r="F43" s="477">
        <f>'Income Statement'!F47/'Income Statement'!F38</f>
        <v>-5.806871937229131E-3</v>
      </c>
      <c r="G43" s="480">
        <f>'Income Statement'!G47/'Income Statement'!G38</f>
        <v>-5.1218624954528919E-3</v>
      </c>
      <c r="I43" s="481">
        <f t="shared" si="7"/>
        <v>-6.1113518022476382E-3</v>
      </c>
      <c r="J43" s="480">
        <f t="shared" si="8"/>
        <v>-6.4152388914482539E-3</v>
      </c>
      <c r="L43" s="116" cm="1">
        <f t="array" ref="L43">_xlfn.IFS($N$4="Bull",T43, $N$4="Bear",AA43, $N$4="Base",AH43)</f>
        <v>1272.7944217652143</v>
      </c>
      <c r="M43" s="117" cm="1">
        <f t="array" ref="M43">_xlfn.IFS($N$4="Bull",U43, $N$4="Bear",AB43, $N$4="Base",AI43)</f>
        <v>1070.544365295643</v>
      </c>
      <c r="N43" s="117" cm="1">
        <f t="array" ref="N43">_xlfn.IFS($N$4="Bull",V43, $N$4="Bear",AC43, $N$4="Base",AJ43)</f>
        <v>890.56893382607109</v>
      </c>
      <c r="O43" s="117" cm="1">
        <f t="array" ref="O43">_xlfn.IFS($N$4="Bull",W43, $N$4="Bear",AD43, $N$4="Base",AK43)</f>
        <v>760.51812735649958</v>
      </c>
      <c r="P43" s="118" cm="1">
        <f t="array" ref="P43">_xlfn.IFS($N$4="Bull",X43, $N$4="Bear",AE43, $N$4="Base",AL43)</f>
        <v>664.34232088692818</v>
      </c>
      <c r="S43" s="39"/>
      <c r="T43" s="110">
        <f>'Debt Schedule'!F266</f>
        <v>1272.7944217652143</v>
      </c>
      <c r="U43" s="110">
        <f>'Debt Schedule'!G266</f>
        <v>1070.544365295643</v>
      </c>
      <c r="V43" s="110">
        <f>'Debt Schedule'!H266</f>
        <v>890.56893382607109</v>
      </c>
      <c r="W43" s="110">
        <f>'Debt Schedule'!I266</f>
        <v>760.51812735649958</v>
      </c>
      <c r="X43" s="111">
        <f>'Debt Schedule'!J266</f>
        <v>664.34232088692818</v>
      </c>
      <c r="Z43" s="39"/>
      <c r="AA43" s="110">
        <f>'Debt Schedule'!F266</f>
        <v>1272.7944217652143</v>
      </c>
      <c r="AB43" s="110">
        <f>'Debt Schedule'!G266</f>
        <v>1070.544365295643</v>
      </c>
      <c r="AC43" s="110">
        <f>'Debt Schedule'!H266</f>
        <v>890.56893382607109</v>
      </c>
      <c r="AD43" s="110">
        <f>'Debt Schedule'!I266</f>
        <v>760.51812735649958</v>
      </c>
      <c r="AE43" s="111">
        <f>'Debt Schedule'!J266</f>
        <v>664.34232088692818</v>
      </c>
      <c r="AG43" s="39"/>
      <c r="AH43" s="110">
        <f>'Debt Schedule'!F266</f>
        <v>1272.7944217652143</v>
      </c>
      <c r="AI43" s="110">
        <f>'Debt Schedule'!G266</f>
        <v>1070.544365295643</v>
      </c>
      <c r="AJ43" s="110">
        <f>'Debt Schedule'!H266</f>
        <v>890.56893382607109</v>
      </c>
      <c r="AK43" s="110">
        <f>'Debt Schedule'!I266</f>
        <v>760.51812735649958</v>
      </c>
      <c r="AL43" s="111">
        <f>'Debt Schedule'!J266</f>
        <v>664.34232088692818</v>
      </c>
    </row>
    <row r="44" spans="1:38" ht="15" customHeight="1" x14ac:dyDescent="0.2">
      <c r="B44" s="39" t="s">
        <v>51</v>
      </c>
      <c r="C44" s="30">
        <f>'Income Statement'!C48/'Income Statement'!C38</f>
        <v>0</v>
      </c>
      <c r="D44" s="30">
        <f>'Income Statement'!D48/'Income Statement'!D38</f>
        <v>9.2069401050322401E-3</v>
      </c>
      <c r="E44" s="477">
        <f>'Income Statement'!E48/'Income Statement'!E38</f>
        <v>-7.6767469848667193E-3</v>
      </c>
      <c r="F44" s="30">
        <f>'Income Statement'!F48/'Income Statement'!F38</f>
        <v>9.7118415674912284E-5</v>
      </c>
      <c r="G44" s="42">
        <f>'Income Statement'!G48/'Income Statement'!G38</f>
        <v>4.7289923608584938E-5</v>
      </c>
      <c r="I44" s="481">
        <f t="shared" si="7"/>
        <v>-2.5107795485277405E-3</v>
      </c>
      <c r="J44" s="104">
        <f t="shared" si="8"/>
        <v>3.3492029188980356E-4</v>
      </c>
      <c r="L44" s="102" cm="1">
        <f t="array" ref="L44">_xlfn.IFS($N$4="Bull",T44, $N$4="Bear",AA44, $N$4="Base",AH44)</f>
        <v>-1E-3</v>
      </c>
      <c r="M44" s="103" cm="1">
        <f t="array" ref="M44">_xlfn.IFS($N$4="Bull",U44, $N$4="Bear",AB44, $N$4="Base",AI44)</f>
        <v>-1E-3</v>
      </c>
      <c r="N44" s="103" cm="1">
        <f t="array" ref="N44">_xlfn.IFS($N$4="Bull",V44, $N$4="Bear",AC44, $N$4="Base",AJ44)</f>
        <v>-1E-3</v>
      </c>
      <c r="O44" s="103" cm="1">
        <f t="array" ref="O44">_xlfn.IFS($N$4="Bull",W44, $N$4="Bear",AD44, $N$4="Base",AK44)</f>
        <v>-1E-3</v>
      </c>
      <c r="P44" s="104" cm="1">
        <f t="array" ref="P44">_xlfn.IFS($N$4="Bull",X44, $N$4="Bear",AE44, $N$4="Base",AL44)</f>
        <v>-1E-3</v>
      </c>
      <c r="S44" s="39"/>
      <c r="T44" s="34">
        <v>0.1</v>
      </c>
      <c r="U44" s="34">
        <v>0.1</v>
      </c>
      <c r="V44" s="34">
        <v>0.1</v>
      </c>
      <c r="W44" s="34">
        <v>0.1</v>
      </c>
      <c r="X44" s="54">
        <v>0.1</v>
      </c>
      <c r="Z44" s="39"/>
      <c r="AA44" s="34">
        <v>0</v>
      </c>
      <c r="AB44" s="34">
        <v>0</v>
      </c>
      <c r="AC44" s="34">
        <v>0</v>
      </c>
      <c r="AD44" s="34">
        <v>0</v>
      </c>
      <c r="AE44" s="54">
        <v>0</v>
      </c>
      <c r="AG44" s="39"/>
      <c r="AH44" s="98">
        <v>-1E-3</v>
      </c>
      <c r="AI44" s="98">
        <v>-1E-3</v>
      </c>
      <c r="AJ44" s="98">
        <v>-1E-3</v>
      </c>
      <c r="AK44" s="98">
        <v>-1E-3</v>
      </c>
      <c r="AL44" s="99">
        <v>-1E-3</v>
      </c>
    </row>
    <row r="45" spans="1:38" ht="15" customHeight="1" x14ac:dyDescent="0.2">
      <c r="B45" s="39" t="s">
        <v>52</v>
      </c>
      <c r="C45" s="30">
        <f>'Income Statement'!C49/'Income Statement'!C38</f>
        <v>1.1259320534473052E-3</v>
      </c>
      <c r="D45" s="477">
        <f>'Income Statement'!D49/'Income Statement'!D38</f>
        <v>-2.7421392009572558E-3</v>
      </c>
      <c r="E45" s="477">
        <f>'Income Statement'!E49/'Income Statement'!E38</f>
        <v>-3.9945714797838837E-4</v>
      </c>
      <c r="F45" s="477">
        <f>'Income Statement'!F49/'Income Statement'!F38</f>
        <v>-1.1075545987593123E-2</v>
      </c>
      <c r="G45" s="480">
        <f>'Income Statement'!G49/'Income Statement'!G38</f>
        <v>-8.7304474354310663E-5</v>
      </c>
      <c r="I45" s="481">
        <f t="shared" si="7"/>
        <v>-3.8541025366419408E-3</v>
      </c>
      <c r="J45" s="480">
        <f t="shared" si="8"/>
        <v>-2.6357029514871544E-3</v>
      </c>
      <c r="L45" s="102" cm="1">
        <f t="array" ref="L45">_xlfn.IFS($N$4="Bull",T45, $N$4="Bear",AA45, $N$4="Base",AH45)</f>
        <v>-2E-3</v>
      </c>
      <c r="M45" s="103" cm="1">
        <f t="array" ref="M45">_xlfn.IFS($N$4="Bull",U45, $N$4="Bear",AB45, $N$4="Base",AI45)</f>
        <v>-3.0000000000000001E-3</v>
      </c>
      <c r="N45" s="103" cm="1">
        <f t="array" ref="N45">_xlfn.IFS($N$4="Bull",V45, $N$4="Bear",AC45, $N$4="Base",AJ45)</f>
        <v>-4.0000000000000001E-3</v>
      </c>
      <c r="O45" s="103" cm="1">
        <f t="array" ref="O45">_xlfn.IFS($N$4="Bull",W45, $N$4="Bear",AD45, $N$4="Base",AK45)</f>
        <v>-5.0000000000000001E-3</v>
      </c>
      <c r="P45" s="104" cm="1">
        <f t="array" ref="P45">_xlfn.IFS($N$4="Bull",X45, $N$4="Bear",AE45, $N$4="Base",AL45)</f>
        <v>-6.0000000000000001E-3</v>
      </c>
      <c r="S45" s="39"/>
      <c r="T45" s="98">
        <v>-0.15</v>
      </c>
      <c r="U45" s="98">
        <v>-0.2</v>
      </c>
      <c r="V45" s="98">
        <v>-0.25</v>
      </c>
      <c r="W45" s="98">
        <v>-0.3</v>
      </c>
      <c r="X45" s="99">
        <v>-0.35</v>
      </c>
      <c r="Z45" s="39"/>
      <c r="AA45" s="98">
        <v>-0.15</v>
      </c>
      <c r="AB45" s="98">
        <v>-0.25</v>
      </c>
      <c r="AC45" s="98">
        <v>-0.3</v>
      </c>
      <c r="AD45" s="98">
        <v>-0.45</v>
      </c>
      <c r="AE45" s="99">
        <v>-0.55000000000000004</v>
      </c>
      <c r="AG45" s="39"/>
      <c r="AH45" s="98">
        <v>-2E-3</v>
      </c>
      <c r="AI45" s="98">
        <v>-3.0000000000000001E-3</v>
      </c>
      <c r="AJ45" s="98">
        <v>-4.0000000000000001E-3</v>
      </c>
      <c r="AK45" s="98">
        <v>-5.0000000000000001E-3</v>
      </c>
      <c r="AL45" s="99">
        <v>-6.0000000000000001E-3</v>
      </c>
    </row>
    <row r="46" spans="1:38" ht="15" customHeight="1" x14ac:dyDescent="0.2">
      <c r="B46" s="39"/>
      <c r="C46" s="30"/>
      <c r="D46" s="30"/>
      <c r="E46" s="30"/>
      <c r="F46" s="30"/>
      <c r="G46" s="42"/>
      <c r="I46" s="475"/>
      <c r="J46" s="42"/>
      <c r="L46" s="47"/>
      <c r="M46" s="48"/>
      <c r="N46" s="48"/>
      <c r="O46" s="48"/>
      <c r="P46" s="49"/>
      <c r="S46" s="39"/>
      <c r="T46" s="30"/>
      <c r="U46" s="30"/>
      <c r="V46" s="30"/>
      <c r="W46" s="30"/>
      <c r="X46" s="42"/>
      <c r="Z46" s="39"/>
      <c r="AB46" t="s">
        <v>53</v>
      </c>
      <c r="AE46" s="40"/>
      <c r="AG46" s="39"/>
      <c r="AL46" s="40"/>
    </row>
    <row r="47" spans="1:38" ht="15" customHeight="1" x14ac:dyDescent="0.2">
      <c r="A47" t="s">
        <v>21</v>
      </c>
      <c r="B47" s="336" t="s">
        <v>54</v>
      </c>
      <c r="C47" s="30">
        <f>'Income Statement'!C51/'Income Statement'!C50</f>
        <v>0.20156296077853142</v>
      </c>
      <c r="D47" s="30">
        <f>'Income Statement'!D51/'Income Statement'!D50</f>
        <v>0.19238596911289357</v>
      </c>
      <c r="E47" s="30">
        <f>'Income Statement'!E51/'Income Statement'!E50</f>
        <v>2.5575911481951749E-2</v>
      </c>
      <c r="F47" s="30">
        <f>'Income Statement'!F51/'Income Statement'!F50</f>
        <v>0.28297589675460239</v>
      </c>
      <c r="G47" s="42">
        <f>'Income Statement'!G51/'Income Statement'!G50</f>
        <v>0.19187765068757229</v>
      </c>
      <c r="I47" s="475">
        <f>AVERAGE(E47:G47)</f>
        <v>0.16680981964137551</v>
      </c>
      <c r="J47" s="42">
        <f>AVERAGE(C47:G47)</f>
        <v>0.17887567776311028</v>
      </c>
      <c r="L47" s="47" cm="1">
        <f t="array" ref="L47">_xlfn.IFS($N$4="Bull",T47, $N$4="Bear",AA47, $N$4="Base",AH47)</f>
        <v>0.17</v>
      </c>
      <c r="M47" s="48" cm="1">
        <f t="array" ref="M47">_xlfn.IFS($N$4="Bull",U47, $N$4="Bear",AB47, $N$4="Base",AI47)</f>
        <v>0.17249999999999999</v>
      </c>
      <c r="N47" s="48" cm="1">
        <f t="array" ref="N47">_xlfn.IFS($N$4="Bull",V47, $N$4="Bear",AC47, $N$4="Base",AJ47)</f>
        <v>0.17499999999999999</v>
      </c>
      <c r="O47" s="48" cm="1">
        <f t="array" ref="O47">_xlfn.IFS($N$4="Bull",W47, $N$4="Bear",AD47, $N$4="Base",AK47)</f>
        <v>0.17749999999999999</v>
      </c>
      <c r="P47" s="49" cm="1">
        <f t="array" ref="P47">_xlfn.IFS($N$4="Bull",X47, $N$4="Bear",AE47, $N$4="Base",AL47)</f>
        <v>0.18</v>
      </c>
      <c r="S47" s="336"/>
      <c r="T47" s="34">
        <v>0.2</v>
      </c>
      <c r="U47" s="34">
        <v>0.21249999999999999</v>
      </c>
      <c r="V47" s="34">
        <v>0.22500000000000001</v>
      </c>
      <c r="W47" s="34">
        <v>0.23749999999999999</v>
      </c>
      <c r="X47" s="54">
        <v>0.25</v>
      </c>
      <c r="Z47" s="336"/>
      <c r="AA47" s="34">
        <v>0.15</v>
      </c>
      <c r="AB47" s="34">
        <v>0.1525</v>
      </c>
      <c r="AC47" s="34">
        <v>0.155</v>
      </c>
      <c r="AD47" s="34">
        <v>0.1575</v>
      </c>
      <c r="AE47" s="54">
        <v>0.16</v>
      </c>
      <c r="AG47" s="336"/>
      <c r="AH47" s="34">
        <v>0.17</v>
      </c>
      <c r="AI47" s="34">
        <v>0.17249999999999999</v>
      </c>
      <c r="AJ47" s="34">
        <v>0.17499999999999999</v>
      </c>
      <c r="AK47" s="34">
        <v>0.17749999999999999</v>
      </c>
      <c r="AL47" s="54">
        <v>0.18</v>
      </c>
    </row>
    <row r="48" spans="1:38" ht="15" customHeight="1" x14ac:dyDescent="0.2">
      <c r="B48" s="39"/>
      <c r="C48" s="30"/>
      <c r="D48" s="30"/>
      <c r="E48" s="30"/>
      <c r="F48" s="30"/>
      <c r="G48" s="42"/>
      <c r="I48" s="475"/>
      <c r="J48" s="42"/>
      <c r="L48" s="47"/>
      <c r="M48" s="48"/>
      <c r="N48" s="48"/>
      <c r="O48" s="48"/>
      <c r="P48" s="49"/>
      <c r="S48" s="39"/>
      <c r="T48" s="30"/>
      <c r="U48" s="30"/>
      <c r="V48" s="30"/>
      <c r="W48" s="30"/>
      <c r="X48" s="42"/>
      <c r="Z48" s="39"/>
      <c r="AE48" s="40"/>
      <c r="AG48" s="39"/>
      <c r="AL48" s="40"/>
    </row>
    <row r="49" spans="1:38" ht="15" customHeight="1" x14ac:dyDescent="0.2">
      <c r="B49" s="336" t="s">
        <v>55</v>
      </c>
      <c r="C49" s="30">
        <f>'Income Statement'!C53/'Income Statement'!C52</f>
        <v>9.2336103416435829E-3</v>
      </c>
      <c r="D49" s="30">
        <f>'Income Statement'!D53/'Income Statement'!D52</f>
        <v>1.1562407352505188E-2</v>
      </c>
      <c r="E49" s="30">
        <f>'Income Statement'!E53/'Income Statement'!E52</f>
        <v>3.8719285182427399E-2</v>
      </c>
      <c r="F49" s="30">
        <f>'Income Statement'!F53/'Income Statement'!F52</f>
        <v>9.1053467443091576E-2</v>
      </c>
      <c r="G49" s="42">
        <f>'Income Statement'!G53/'Income Statement'!G52</f>
        <v>5.263994910941476E-2</v>
      </c>
      <c r="I49" s="475">
        <f>AVERAGE(E49:G49)</f>
        <v>6.0804233911644578E-2</v>
      </c>
      <c r="J49" s="42">
        <f>AVERAGE(C49:G49)</f>
        <v>4.0641743885816504E-2</v>
      </c>
      <c r="L49" s="47" cm="1">
        <f t="array" ref="L49">_xlfn.IFS($N$4="Bull",T49, $N$4="Bear",AA49, $N$4="Base",AH49)</f>
        <v>0.05</v>
      </c>
      <c r="M49" s="48" cm="1">
        <f t="array" ref="M49">_xlfn.IFS($N$4="Bull",U49, $N$4="Bear",AB49, $N$4="Base",AI49)</f>
        <v>0.05</v>
      </c>
      <c r="N49" s="48" cm="1">
        <f t="array" ref="N49">_xlfn.IFS($N$4="Bull",V49, $N$4="Bear",AC49, $N$4="Base",AJ49)</f>
        <v>0.05</v>
      </c>
      <c r="O49" s="48" cm="1">
        <f t="array" ref="O49">_xlfn.IFS($N$4="Bull",W49, $N$4="Bear",AD49, $N$4="Base",AK49)</f>
        <v>0.05</v>
      </c>
      <c r="P49" s="49" cm="1">
        <f t="array" ref="P49">_xlfn.IFS($N$4="Bull",X49, $N$4="Bear",AE49, $N$4="Base",AL49)</f>
        <v>0.05</v>
      </c>
      <c r="S49" s="336"/>
      <c r="T49" s="34">
        <v>0.05</v>
      </c>
      <c r="U49" s="34">
        <v>0.05</v>
      </c>
      <c r="V49" s="34">
        <v>0.05</v>
      </c>
      <c r="W49" s="34">
        <v>0.05</v>
      </c>
      <c r="X49" s="54">
        <v>0.05</v>
      </c>
      <c r="Z49" s="336"/>
      <c r="AA49" s="34">
        <v>0.05</v>
      </c>
      <c r="AB49" s="34">
        <v>0.05</v>
      </c>
      <c r="AC49" s="34">
        <v>0.05</v>
      </c>
      <c r="AD49" s="34">
        <v>0.05</v>
      </c>
      <c r="AE49" s="54">
        <v>0.05</v>
      </c>
      <c r="AG49" s="336"/>
      <c r="AH49" s="34">
        <v>0.05</v>
      </c>
      <c r="AI49" s="34">
        <v>0.05</v>
      </c>
      <c r="AJ49" s="34">
        <v>0.05</v>
      </c>
      <c r="AK49" s="34">
        <v>0.05</v>
      </c>
      <c r="AL49" s="54">
        <v>0.05</v>
      </c>
    </row>
    <row r="50" spans="1:38" ht="15" customHeight="1" x14ac:dyDescent="0.2">
      <c r="B50" s="336"/>
      <c r="C50" s="30"/>
      <c r="D50" s="30"/>
      <c r="E50" s="30"/>
      <c r="F50" s="30"/>
      <c r="G50" s="42"/>
      <c r="I50" s="475"/>
      <c r="J50" s="42"/>
      <c r="L50" s="47"/>
      <c r="M50" s="48"/>
      <c r="N50" s="48"/>
      <c r="O50" s="48"/>
      <c r="P50" s="49"/>
      <c r="S50" s="336"/>
      <c r="T50" s="30"/>
      <c r="U50" s="30"/>
      <c r="V50" s="30"/>
      <c r="W50" s="30"/>
      <c r="X50" s="42"/>
      <c r="Z50" s="336"/>
      <c r="AE50" s="40"/>
      <c r="AG50" s="336"/>
      <c r="AL50" s="40"/>
    </row>
    <row r="51" spans="1:38" ht="15" customHeight="1" x14ac:dyDescent="0.2">
      <c r="B51" s="39" t="s">
        <v>56</v>
      </c>
      <c r="C51" s="30">
        <f>Calcs!C15/'Income Statement'!C38</f>
        <v>7.8987580280104313E-3</v>
      </c>
      <c r="D51" s="30">
        <f>Calcs!D15/'Income Statement'!D38</f>
        <v>7.3733076292406214E-3</v>
      </c>
      <c r="E51" s="30">
        <f>Calcs!E15/'Income Statement'!E38</f>
        <v>6.2274345120733364E-3</v>
      </c>
      <c r="F51" s="30">
        <f>Calcs!F15/'Income Statement'!F38</f>
        <v>5.3900720699576318E-3</v>
      </c>
      <c r="G51" s="42">
        <f>Calcs!G15/'Income Statement'!G38</f>
        <v>4.6998908694070567E-3</v>
      </c>
      <c r="I51" s="475">
        <f>AVERAGE(E51:G51)</f>
        <v>5.4391324838126741E-3</v>
      </c>
      <c r="J51" s="42">
        <f>AVERAGE(C51:G51)</f>
        <v>6.3178926217378152E-3</v>
      </c>
      <c r="L51" s="47" cm="1">
        <f t="array" ref="L51">_xlfn.IFS($N$4="Bull",T51, $N$4="Bear",AA51, $N$4="Base",AH51)</f>
        <v>6.3178926217378152E-3</v>
      </c>
      <c r="M51" s="48" cm="1">
        <f t="array" ref="M51">_xlfn.IFS($N$4="Bull",U51, $N$4="Bear",AB51, $N$4="Base",AI51)</f>
        <v>6.3178926217378152E-3</v>
      </c>
      <c r="N51" s="48" cm="1">
        <f t="array" ref="N51">_xlfn.IFS($N$4="Bull",V51, $N$4="Bear",AC51, $N$4="Base",AJ51)</f>
        <v>6.3178926217378152E-3</v>
      </c>
      <c r="O51" s="48" cm="1">
        <f t="array" ref="O51">_xlfn.IFS($N$4="Bull",W51, $N$4="Bear",AD51, $N$4="Base",AK51)</f>
        <v>6.3178926217378152E-3</v>
      </c>
      <c r="P51" s="49" cm="1">
        <f t="array" ref="P51">_xlfn.IFS($N$4="Bull",X51, $N$4="Bear",AE51, $N$4="Base",AL51)</f>
        <v>6.3178926217378152E-3</v>
      </c>
      <c r="S51" s="39"/>
      <c r="T51" s="34">
        <f>J51</f>
        <v>6.3178926217378152E-3</v>
      </c>
      <c r="U51" s="34">
        <f>T51</f>
        <v>6.3178926217378152E-3</v>
      </c>
      <c r="V51" s="34">
        <f t="shared" ref="V51:X51" si="9">U51</f>
        <v>6.3178926217378152E-3</v>
      </c>
      <c r="W51" s="34">
        <f t="shared" si="9"/>
        <v>6.3178926217378152E-3</v>
      </c>
      <c r="X51" s="54">
        <f t="shared" si="9"/>
        <v>6.3178926217378152E-3</v>
      </c>
      <c r="Z51" s="39"/>
      <c r="AA51" s="34">
        <v>6.1999999999999998E-3</v>
      </c>
      <c r="AB51" s="34">
        <v>6.1999999999999998E-3</v>
      </c>
      <c r="AC51" s="34">
        <v>6.1999999999999998E-3</v>
      </c>
      <c r="AD51" s="34">
        <v>6.1999999999999998E-3</v>
      </c>
      <c r="AE51" s="54">
        <v>6.1999999999999998E-3</v>
      </c>
      <c r="AG51" s="39"/>
      <c r="AH51" s="34">
        <f>J51</f>
        <v>6.3178926217378152E-3</v>
      </c>
      <c r="AI51" s="34">
        <f>AH51</f>
        <v>6.3178926217378152E-3</v>
      </c>
      <c r="AJ51" s="34">
        <f t="shared" ref="AJ51:AL51" si="10">AI51</f>
        <v>6.3178926217378152E-3</v>
      </c>
      <c r="AK51" s="34">
        <f t="shared" si="10"/>
        <v>6.3178926217378152E-3</v>
      </c>
      <c r="AL51" s="54">
        <f t="shared" si="10"/>
        <v>6.3178926217378152E-3</v>
      </c>
    </row>
    <row r="52" spans="1:38" ht="15" customHeight="1" x14ac:dyDescent="0.2">
      <c r="B52" s="39" t="s">
        <v>57</v>
      </c>
      <c r="C52" s="30">
        <f>Calcs!C14/'Income Statement'!C38</f>
        <v>6.6292121922356647E-3</v>
      </c>
      <c r="D52" s="30">
        <f>Calcs!D14/'Income Statement'!D38</f>
        <v>7.1738793237164575E-3</v>
      </c>
      <c r="E52" s="30">
        <f>Calcs!E14/'Income Statement'!E38</f>
        <v>8.0557191508974987E-3</v>
      </c>
      <c r="F52" s="30">
        <f>Calcs!F14/'Income Statement'!F38</f>
        <v>5.6895205182886117E-3</v>
      </c>
      <c r="G52" s="42">
        <f>Calcs!G14/'Income Statement'!G38</f>
        <v>4.408875954892688E-3</v>
      </c>
      <c r="I52" s="475">
        <f>AVERAGE(E52:G52)</f>
        <v>6.0513718746929325E-3</v>
      </c>
      <c r="J52" s="42">
        <f>AVERAGE(C52:G52)</f>
        <v>6.3914414280061838E-3</v>
      </c>
      <c r="L52" s="47" cm="1">
        <f t="array" ref="L52">_xlfn.IFS($N$4="Bull",T52, $N$4="Bear",AA52, $N$4="Base",AH52)</f>
        <v>6.3914414280061838E-3</v>
      </c>
      <c r="M52" s="48" cm="1">
        <f t="array" ref="M52">_xlfn.IFS($N$4="Bull",U52, $N$4="Bear",AB52, $N$4="Base",AI52)</f>
        <v>6.3914414280061838E-3</v>
      </c>
      <c r="N52" s="48" cm="1">
        <f t="array" ref="N52">_xlfn.IFS($N$4="Bull",V52, $N$4="Bear",AC52, $N$4="Base",AJ52)</f>
        <v>6.3914414280061838E-3</v>
      </c>
      <c r="O52" s="48" cm="1">
        <f t="array" ref="O52">_xlfn.IFS($N$4="Bull",W52, $N$4="Bear",AD52, $N$4="Base",AK52)</f>
        <v>6.3914414280061838E-3</v>
      </c>
      <c r="P52" s="49" cm="1">
        <f t="array" ref="P52">_xlfn.IFS($N$4="Bull",X52, $N$4="Bear",AE52, $N$4="Base",AL52)</f>
        <v>6.3914414280061838E-3</v>
      </c>
      <c r="S52" s="39"/>
      <c r="T52" s="50">
        <v>6.3914414280061838E-3</v>
      </c>
      <c r="U52" s="50">
        <v>6.3914414280061838E-3</v>
      </c>
      <c r="V52" s="50">
        <v>6.3914414280061838E-3</v>
      </c>
      <c r="W52" s="50">
        <v>6.3914414280061838E-3</v>
      </c>
      <c r="X52" s="51">
        <v>6.3914414280061838E-3</v>
      </c>
      <c r="Z52" s="39"/>
      <c r="AA52" s="50">
        <f>J52</f>
        <v>6.3914414280061838E-3</v>
      </c>
      <c r="AB52" s="50">
        <f>AA52</f>
        <v>6.3914414280061838E-3</v>
      </c>
      <c r="AC52" s="50">
        <f>AB52</f>
        <v>6.3914414280061838E-3</v>
      </c>
      <c r="AD52" s="50">
        <f>AC52</f>
        <v>6.3914414280061838E-3</v>
      </c>
      <c r="AE52" s="51">
        <f>AD52</f>
        <v>6.3914414280061838E-3</v>
      </c>
      <c r="AG52" s="39"/>
      <c r="AH52" s="50">
        <f>J52</f>
        <v>6.3914414280061838E-3</v>
      </c>
      <c r="AI52" s="50">
        <f>AH52</f>
        <v>6.3914414280061838E-3</v>
      </c>
      <c r="AJ52" s="50">
        <f>AI52</f>
        <v>6.3914414280061838E-3</v>
      </c>
      <c r="AK52" s="50">
        <f>AJ52</f>
        <v>6.3914414280061838E-3</v>
      </c>
      <c r="AL52" s="51">
        <f>AK52</f>
        <v>6.3914414280061838E-3</v>
      </c>
    </row>
    <row r="53" spans="1:38" ht="15" customHeight="1" x14ac:dyDescent="0.2">
      <c r="B53" s="39" t="s">
        <v>58</v>
      </c>
      <c r="D53" s="30"/>
      <c r="E53" s="30"/>
      <c r="F53" s="30"/>
      <c r="G53" s="42">
        <f>'Debt Schedule'!E262/'Income Statement'!G38</f>
        <v>0.11229901782466352</v>
      </c>
      <c r="I53" s="475"/>
      <c r="J53" s="42"/>
      <c r="L53" s="47"/>
      <c r="M53" s="48"/>
      <c r="N53" s="48"/>
      <c r="O53" s="48"/>
      <c r="P53" s="49"/>
      <c r="S53" s="39"/>
      <c r="T53" s="50"/>
      <c r="U53" s="50"/>
      <c r="V53" s="50"/>
      <c r="W53" s="50"/>
      <c r="X53" s="51"/>
      <c r="Z53" s="39"/>
      <c r="AA53" s="50"/>
      <c r="AB53" s="50"/>
      <c r="AC53" s="50"/>
      <c r="AD53" s="50"/>
      <c r="AE53" s="51"/>
      <c r="AG53" s="39"/>
      <c r="AH53" s="50"/>
      <c r="AI53" s="50"/>
      <c r="AJ53" s="50"/>
      <c r="AK53" s="50"/>
      <c r="AL53" s="51"/>
    </row>
    <row r="54" spans="1:38" ht="15" customHeight="1" x14ac:dyDescent="0.2">
      <c r="B54" s="39"/>
      <c r="G54" s="40"/>
      <c r="I54" s="39"/>
      <c r="J54" s="40"/>
      <c r="L54" s="47"/>
      <c r="M54" s="48"/>
      <c r="N54" s="48"/>
      <c r="O54" s="48"/>
      <c r="P54" s="49"/>
      <c r="S54" s="328"/>
      <c r="T54" s="33"/>
      <c r="U54" s="33"/>
      <c r="V54" s="33"/>
      <c r="W54" s="33"/>
      <c r="X54" s="379"/>
      <c r="Z54" s="328"/>
      <c r="AA54" s="33"/>
      <c r="AB54" s="33"/>
      <c r="AC54" s="33"/>
      <c r="AD54" s="33"/>
      <c r="AE54" s="379"/>
      <c r="AG54" s="328"/>
      <c r="AH54" s="33"/>
      <c r="AI54" s="33"/>
      <c r="AJ54" s="33"/>
      <c r="AK54" s="33"/>
      <c r="AL54" s="379"/>
    </row>
    <row r="55" spans="1:38" ht="15" customHeight="1" x14ac:dyDescent="0.2">
      <c r="B55" s="468" t="s">
        <v>5</v>
      </c>
      <c r="C55" s="55"/>
      <c r="D55" s="55"/>
      <c r="E55" s="55"/>
      <c r="F55" s="55"/>
      <c r="G55" s="469"/>
      <c r="I55" s="470"/>
      <c r="J55" s="469"/>
      <c r="L55" s="56"/>
      <c r="M55" s="57"/>
      <c r="N55" s="57"/>
      <c r="O55" s="57"/>
      <c r="P55" s="58"/>
      <c r="S55" s="411"/>
      <c r="Z55" s="411"/>
      <c r="AG55" s="411"/>
    </row>
    <row r="56" spans="1:38" ht="15" customHeight="1" x14ac:dyDescent="0.2">
      <c r="A56" t="s">
        <v>21</v>
      </c>
      <c r="B56" s="408" t="s">
        <v>59</v>
      </c>
      <c r="C56" s="74"/>
      <c r="D56" s="74"/>
      <c r="E56" s="74"/>
      <c r="F56" s="74"/>
      <c r="G56" s="484"/>
      <c r="I56" s="403"/>
      <c r="J56" s="484"/>
      <c r="L56" s="75"/>
      <c r="M56" s="76"/>
      <c r="N56" s="76"/>
      <c r="O56" s="76"/>
      <c r="P56" s="77"/>
      <c r="S56" s="411"/>
      <c r="Z56" s="411"/>
      <c r="AG56" s="411"/>
    </row>
    <row r="57" spans="1:38" ht="15" customHeight="1" x14ac:dyDescent="0.2">
      <c r="B57" s="39" t="s">
        <v>60</v>
      </c>
      <c r="C57" s="30">
        <f>'Balance Sheet'!C5/'Income Statement'!C38</f>
        <v>2.9188065120233458E-2</v>
      </c>
      <c r="D57" s="30">
        <f>'Balance Sheet'!D5/'Income Statement'!D38</f>
        <v>3.2817035609031889E-2</v>
      </c>
      <c r="E57" s="30">
        <f>'Balance Sheet'!E5/'Income Statement'!E38</f>
        <v>4.0058382198550686E-2</v>
      </c>
      <c r="F57" s="30">
        <f>'Balance Sheet'!F5/'Income Statement'!F38</f>
        <v>3.0551834931066158E-2</v>
      </c>
      <c r="G57" s="42">
        <f>'Balance Sheet'!G5/'Income Statement'!G38</f>
        <v>2.7922881047653694E-2</v>
      </c>
      <c r="I57" s="475">
        <f>AVERAGE(E57:G57)</f>
        <v>3.2844366059090184E-2</v>
      </c>
      <c r="J57" s="42">
        <f t="shared" ref="J57:J70" si="11">AVERAGE(C57:G57)</f>
        <v>3.2107639781307179E-2</v>
      </c>
      <c r="L57" s="129">
        <v>0.03</v>
      </c>
      <c r="M57" s="34">
        <v>2.75E-2</v>
      </c>
      <c r="N57" s="34">
        <v>2.5000000000000001E-2</v>
      </c>
      <c r="O57" s="34">
        <v>2.2499999999999999E-2</v>
      </c>
      <c r="P57" s="54">
        <v>2.2499999999999999E-2</v>
      </c>
    </row>
    <row r="58" spans="1:38" ht="15" customHeight="1" x14ac:dyDescent="0.2">
      <c r="B58" s="39" t="s">
        <v>61</v>
      </c>
      <c r="C58" s="30">
        <f>'Balance Sheet'!C7/'Income Statement'!C38</f>
        <v>5.2849871896506161E-3</v>
      </c>
      <c r="D58" s="30">
        <f>'Balance Sheet'!D7/'Income Statement'!D38</f>
        <v>5.0134060138713465E-3</v>
      </c>
      <c r="E58" s="30">
        <f>'Balance Sheet'!E7/'Income Statement'!E38</f>
        <v>4.7371520753847337E-3</v>
      </c>
      <c r="F58" s="30">
        <f>'Balance Sheet'!F7/'Income Statement'!F38</f>
        <v>2.6909894343256947E-3</v>
      </c>
      <c r="G58" s="42">
        <f>'Balance Sheet'!G7/'Income Statement'!G38</f>
        <v>3.8413968715896689E-3</v>
      </c>
      <c r="I58" s="475">
        <f t="shared" ref="I58:I70" si="12">AVERAGE(E58:G58)</f>
        <v>3.7565127937666996E-3</v>
      </c>
      <c r="J58" s="42">
        <f t="shared" si="11"/>
        <v>4.3135863169644125E-3</v>
      </c>
      <c r="L58" s="129">
        <v>3.0000000000000001E-3</v>
      </c>
      <c r="M58" s="34">
        <v>3.5000000000000001E-3</v>
      </c>
      <c r="N58" s="34">
        <v>3.5000000000000001E-3</v>
      </c>
      <c r="O58" s="34">
        <v>4.0000000000000001E-3</v>
      </c>
      <c r="P58" s="54">
        <v>4.0000000000000001E-3</v>
      </c>
    </row>
    <row r="59" spans="1:38" ht="15" customHeight="1" x14ac:dyDescent="0.2">
      <c r="B59" s="39" t="s">
        <v>62</v>
      </c>
      <c r="C59" s="30">
        <f>'Balance Sheet'!C8/'Income Statement'!C38</f>
        <v>8.6576132538287429E-2</v>
      </c>
      <c r="D59" s="30">
        <f>'Balance Sheet'!D8/'Income Statement'!D38</f>
        <v>9.5382126792084909E-2</v>
      </c>
      <c r="E59" s="30">
        <f>'Balance Sheet'!E8/'Income Statement'!E38</f>
        <v>9.0758712518884593E-2</v>
      </c>
      <c r="F59" s="30">
        <f>'Balance Sheet'!F8/'Income Statement'!F38</f>
        <v>9.8036994023170829E-2</v>
      </c>
      <c r="G59" s="42">
        <f>'Balance Sheet'!G8/'Income Statement'!G38</f>
        <v>0.10464896325936704</v>
      </c>
      <c r="I59" s="475">
        <f t="shared" si="12"/>
        <v>9.7814889933807492E-2</v>
      </c>
      <c r="J59" s="42">
        <f t="shared" si="11"/>
        <v>9.5080585826358963E-2</v>
      </c>
      <c r="L59" s="129">
        <v>9.5000000000000001E-2</v>
      </c>
      <c r="M59" s="34">
        <v>9.7500000000000003E-2</v>
      </c>
      <c r="N59" s="34">
        <v>0.1</v>
      </c>
      <c r="O59" s="34">
        <v>0.10249999999999999</v>
      </c>
      <c r="P59" s="54">
        <v>0.10249999999999999</v>
      </c>
      <c r="T59" t="s">
        <v>63</v>
      </c>
    </row>
    <row r="60" spans="1:38" ht="15" customHeight="1" x14ac:dyDescent="0.2">
      <c r="B60" s="39" t="s">
        <v>64</v>
      </c>
      <c r="C60" s="30">
        <f>'Balance Sheet'!C9/'Income Statement'!C40</f>
        <v>3.1662314020059035E-2</v>
      </c>
      <c r="D60" s="30">
        <f>'Balance Sheet'!D9/'Income Statement'!D40</f>
        <v>3.8266818334748549E-2</v>
      </c>
      <c r="E60" s="30">
        <f>'Balance Sheet'!E9/'Income Statement'!E40</f>
        <v>4.218952025769613E-2</v>
      </c>
      <c r="F60" s="30">
        <f>'Balance Sheet'!F9/'Income Statement'!F40</f>
        <v>3.666668493060616E-2</v>
      </c>
      <c r="G60" s="42">
        <f>'Balance Sheet'!G9/'Income Statement'!G40</f>
        <v>3.4131661325357804E-2</v>
      </c>
      <c r="I60" s="475">
        <f t="shared" si="12"/>
        <v>3.7662622171220031E-2</v>
      </c>
      <c r="J60" s="42">
        <f t="shared" si="11"/>
        <v>3.6583399773693528E-2</v>
      </c>
      <c r="L60" s="129">
        <v>0.03</v>
      </c>
      <c r="M60" s="34">
        <v>3.2000000000000001E-2</v>
      </c>
      <c r="N60" s="34">
        <v>3.4000000000000002E-2</v>
      </c>
      <c r="O60" s="34">
        <v>3.5999999999999997E-2</v>
      </c>
      <c r="P60" s="54">
        <v>3.7999999999999999E-2</v>
      </c>
    </row>
    <row r="61" spans="1:38" ht="15" customHeight="1" x14ac:dyDescent="0.2">
      <c r="B61" s="39" t="s">
        <v>65</v>
      </c>
      <c r="C61" s="30">
        <f>'Balance Sheet'!C10/'Income Statement'!C38</f>
        <v>7.3702593090453706E-3</v>
      </c>
      <c r="D61" s="30">
        <f>'Balance Sheet'!D10/'Income Statement'!D38</f>
        <v>7.179418998869906E-3</v>
      </c>
      <c r="E61" s="30">
        <f>'Balance Sheet'!E10/'Income Statement'!E38</f>
        <v>1.1107981461091338E-2</v>
      </c>
      <c r="F61" s="30">
        <f>'Balance Sheet'!F10/'Income Statement'!F38</f>
        <v>1.1055312984327516E-2</v>
      </c>
      <c r="G61" s="42">
        <f>'Balance Sheet'!G10/'Income Statement'!G38</f>
        <v>1.0825754819934521E-2</v>
      </c>
      <c r="I61" s="475">
        <f t="shared" si="12"/>
        <v>1.0996349755117792E-2</v>
      </c>
      <c r="J61" s="42">
        <f t="shared" si="11"/>
        <v>9.5077455146537308E-3</v>
      </c>
      <c r="L61" s="129">
        <v>0.01</v>
      </c>
      <c r="M61" s="34">
        <v>1.03E-2</v>
      </c>
      <c r="N61" s="34">
        <v>1.06E-2</v>
      </c>
      <c r="O61" s="34">
        <v>1.09E-2</v>
      </c>
      <c r="P61" s="54">
        <v>1.12E-2</v>
      </c>
    </row>
    <row r="62" spans="1:38" ht="15" customHeight="1" x14ac:dyDescent="0.2">
      <c r="B62" s="39" t="s">
        <v>66</v>
      </c>
      <c r="C62" s="48">
        <f>'Balance Sheet'!C11/'Income Statement'!C38</f>
        <v>5.7772952354691577E-2</v>
      </c>
      <c r="D62" s="48">
        <f>'Balance Sheet'!D11/'Income Statement'!D38</f>
        <v>0</v>
      </c>
      <c r="E62" s="48">
        <f>'Balance Sheet'!E11/'Income Statement'!E38</f>
        <v>1.5711981153816609E-2</v>
      </c>
      <c r="F62" s="48">
        <f>'Balance Sheet'!F11/'Income Statement'!F38</f>
        <v>2.8342390974461902E-2</v>
      </c>
      <c r="G62" s="49">
        <f>'Balance Sheet'!G11/'Income Statement'!G38</f>
        <v>0</v>
      </c>
      <c r="I62" s="475">
        <f>AVERAGE(E62:G62)</f>
        <v>1.4684790709426169E-2</v>
      </c>
      <c r="J62" s="42">
        <f>AVERAGE(C62:G62)</f>
        <v>2.0365464896594014E-2</v>
      </c>
      <c r="L62" s="129">
        <v>0</v>
      </c>
      <c r="M62" s="34">
        <v>0</v>
      </c>
      <c r="N62" s="34">
        <v>0</v>
      </c>
      <c r="O62" s="34">
        <v>0</v>
      </c>
      <c r="P62" s="54">
        <v>0</v>
      </c>
    </row>
    <row r="63" spans="1:38" ht="15" customHeight="1" x14ac:dyDescent="0.2">
      <c r="B63" s="39" t="s">
        <v>67</v>
      </c>
      <c r="C63" s="30">
        <f>'Balance Sheet'!C13/'Income Statement'!C36</f>
        <v>0.10686899014078792</v>
      </c>
      <c r="D63" s="30">
        <f>'Balance Sheet'!D13/'Income Statement'!D36</f>
        <v>9.0811268893460681E-2</v>
      </c>
      <c r="E63" s="30">
        <f>'Balance Sheet'!E13/'Income Statement'!E36</f>
        <v>9.2658900870174504E-2</v>
      </c>
      <c r="F63" s="30">
        <f>'Balance Sheet'!F13/'Income Statement'!F36</f>
        <v>6.1458959650291696E-2</v>
      </c>
      <c r="G63" s="42">
        <f>'Balance Sheet'!G13/'Income Statement'!G36</f>
        <v>6.7448348390018037E-2</v>
      </c>
      <c r="I63" s="475">
        <f t="shared" si="12"/>
        <v>7.385540297016141E-2</v>
      </c>
      <c r="J63" s="42">
        <f t="shared" si="11"/>
        <v>8.3849293588946577E-2</v>
      </c>
      <c r="L63" s="129">
        <v>8.0010256487678497E-2</v>
      </c>
      <c r="M63" s="34">
        <v>8.0010256487678497E-2</v>
      </c>
      <c r="N63" s="34">
        <v>8.0010256487678497E-2</v>
      </c>
      <c r="O63" s="34">
        <v>8.0010256487678497E-2</v>
      </c>
      <c r="P63" s="54">
        <v>8.0010256487678497E-2</v>
      </c>
    </row>
    <row r="64" spans="1:38" ht="15" customHeight="1" x14ac:dyDescent="0.2">
      <c r="B64" s="39" t="s">
        <v>68</v>
      </c>
      <c r="C64" s="30">
        <f>'Balance Sheet'!C14/'Income Statement'!C38</f>
        <v>2.8550419926699527E-2</v>
      </c>
      <c r="D64" s="30">
        <f>'Balance Sheet'!D14/'Income Statement'!D38</f>
        <v>2.6274679252808616E-2</v>
      </c>
      <c r="E64" s="30">
        <f>'Balance Sheet'!E14/'Income Statement'!E38</f>
        <v>2.4761221929173176E-2</v>
      </c>
      <c r="F64" s="30">
        <f>'Balance Sheet'!F14/'Income Statement'!F38</f>
        <v>1.771601765936525E-2</v>
      </c>
      <c r="G64" s="30">
        <f>'Balance Sheet'!G14/'Income Statement'!G38</f>
        <v>1.4925427428155693E-2</v>
      </c>
      <c r="I64" s="475">
        <f t="shared" si="12"/>
        <v>1.9134222338898041E-2</v>
      </c>
      <c r="J64" s="42">
        <f t="shared" si="11"/>
        <v>2.2445553239240457E-2</v>
      </c>
      <c r="L64" s="129">
        <v>1.3964000000000001E-2</v>
      </c>
      <c r="M64" s="34">
        <v>1.7500000000000002E-2</v>
      </c>
      <c r="N64" s="34">
        <v>0.02</v>
      </c>
      <c r="O64" s="34">
        <v>2.2499999999999999E-2</v>
      </c>
      <c r="P64" s="54">
        <v>2.5000000000000001E-2</v>
      </c>
    </row>
    <row r="65" spans="1:33" ht="15" customHeight="1" x14ac:dyDescent="0.2">
      <c r="B65" s="39" t="s">
        <v>69</v>
      </c>
      <c r="C65" s="30">
        <f>'Balance Sheet'!C15/'Balance Sheet'!C21</f>
        <v>2.3836424794530277E-2</v>
      </c>
      <c r="D65" s="30">
        <f>'Balance Sheet'!D15/'Balance Sheet'!D21</f>
        <v>2.6220715337798406E-2</v>
      </c>
      <c r="E65" s="30">
        <f>'Balance Sheet'!E15/'Balance Sheet'!E21</f>
        <v>2.418811083980859E-2</v>
      </c>
      <c r="F65" s="30">
        <f>'Balance Sheet'!F15/'Balance Sheet'!F21</f>
        <v>2.3440958166806729E-2</v>
      </c>
      <c r="G65" s="42">
        <f>'Balance Sheet'!G15/'Balance Sheet'!G21</f>
        <v>2.3119447311596451E-2</v>
      </c>
      <c r="I65" s="475">
        <f t="shared" si="12"/>
        <v>2.3582838772737258E-2</v>
      </c>
      <c r="J65" s="42">
        <f t="shared" si="11"/>
        <v>2.4161131290108089E-2</v>
      </c>
      <c r="L65" s="52">
        <f>Calcs!H16</f>
        <v>4321.6993148036563</v>
      </c>
      <c r="M65" s="31">
        <f>Calcs!I16</f>
        <v>4326.5317172684345</v>
      </c>
      <c r="N65" s="31">
        <f>Calcs!J16</f>
        <v>4226.9420899372708</v>
      </c>
      <c r="O65" s="31">
        <f>Calcs!K16</f>
        <v>3951.0496403913007</v>
      </c>
      <c r="P65" s="43">
        <f>Calcs!L16</f>
        <v>3644.2803784385396</v>
      </c>
    </row>
    <row r="66" spans="1:33" ht="15" customHeight="1" x14ac:dyDescent="0.2">
      <c r="B66" s="39" t="s">
        <v>70</v>
      </c>
      <c r="C66" s="31">
        <f>'Balance Sheet'!C16</f>
        <v>45811</v>
      </c>
      <c r="D66" s="31">
        <f>'Balance Sheet'!D16</f>
        <v>45811</v>
      </c>
      <c r="E66" s="31">
        <f>'Balance Sheet'!E16</f>
        <v>44259</v>
      </c>
      <c r="F66" s="31">
        <f>'Balance Sheet'!F16</f>
        <v>44370</v>
      </c>
      <c r="G66" s="43">
        <f>'Balance Sheet'!G16</f>
        <v>44924</v>
      </c>
      <c r="I66" s="483">
        <f t="shared" si="12"/>
        <v>44517.666666666664</v>
      </c>
      <c r="J66" s="46">
        <f t="shared" si="11"/>
        <v>45035</v>
      </c>
      <c r="L66" s="52">
        <f>$G$66</f>
        <v>44924</v>
      </c>
      <c r="M66" s="31">
        <f>$G$66</f>
        <v>44924</v>
      </c>
      <c r="N66" s="31">
        <f>$G$66</f>
        <v>44924</v>
      </c>
      <c r="O66" s="31">
        <f>$G$66</f>
        <v>44924</v>
      </c>
      <c r="P66" s="43">
        <f>$G$66</f>
        <v>44924</v>
      </c>
    </row>
    <row r="67" spans="1:33" ht="15" customHeight="1" x14ac:dyDescent="0.2">
      <c r="B67" s="39" t="s">
        <v>71</v>
      </c>
      <c r="C67" s="30">
        <f>'Balance Sheet'!C17/'Income Statement'!C38</f>
        <v>0.1959006881972449</v>
      </c>
      <c r="D67" s="30">
        <f>'Balance Sheet'!D17/'Income Statement'!D38</f>
        <v>0.17999512508586496</v>
      </c>
      <c r="E67" s="30">
        <f>'Balance Sheet'!E17/'Income Statement'!E38</f>
        <v>0.15805699946226923</v>
      </c>
      <c r="F67" s="30">
        <f>'Balance Sheet'!F17/'Income Statement'!F38</f>
        <v>0.11903885141287061</v>
      </c>
      <c r="G67" s="42">
        <f>'Balance Sheet'!G17/'Income Statement'!G38</f>
        <v>0.10389232448162969</v>
      </c>
      <c r="I67" s="475">
        <f t="shared" si="12"/>
        <v>0.12699605845225651</v>
      </c>
      <c r="J67" s="42">
        <f t="shared" si="11"/>
        <v>0.15137679772797588</v>
      </c>
      <c r="L67" s="129">
        <v>0.105</v>
      </c>
      <c r="M67" s="34">
        <v>0.1075</v>
      </c>
      <c r="N67" s="34">
        <v>0.11</v>
      </c>
      <c r="O67" s="34">
        <v>0.1125</v>
      </c>
      <c r="P67" s="54">
        <v>0.115</v>
      </c>
    </row>
    <row r="68" spans="1:33" ht="15" customHeight="1" x14ac:dyDescent="0.2">
      <c r="B68" s="39" t="s">
        <v>72</v>
      </c>
      <c r="C68" s="30">
        <f>'Balance Sheet'!C18/'Income Statement'!C38</f>
        <v>1.9560197153000378E-2</v>
      </c>
      <c r="D68" s="30">
        <f>'Balance Sheet'!D18/'Income Statement'!D38</f>
        <v>1.897892707571628E-2</v>
      </c>
      <c r="E68" s="30">
        <f>'Balance Sheet'!E18/'Income Statement'!E38</f>
        <v>1.7519780810693161E-2</v>
      </c>
      <c r="F68" s="30">
        <f>'Balance Sheet'!F18/'Income Statement'!F38</f>
        <v>1.1273829419596069E-2</v>
      </c>
      <c r="G68" s="42">
        <f>'Balance Sheet'!G18/'Income Statement'!G38</f>
        <v>1.0494725354674427E-2</v>
      </c>
      <c r="I68" s="475">
        <f t="shared" si="12"/>
        <v>1.3096111861654552E-2</v>
      </c>
      <c r="J68" s="42">
        <f t="shared" si="11"/>
        <v>1.5565491962736062E-2</v>
      </c>
      <c r="L68" s="129">
        <v>0.01</v>
      </c>
      <c r="M68" s="34">
        <v>8.9999999999999993E-3</v>
      </c>
      <c r="N68" s="34">
        <v>8.0000000000000002E-3</v>
      </c>
      <c r="O68" s="34">
        <v>7.0000000000000001E-3</v>
      </c>
      <c r="P68" s="54">
        <v>6.4999999999999997E-3</v>
      </c>
    </row>
    <row r="69" spans="1:33" ht="15" customHeight="1" x14ac:dyDescent="0.2">
      <c r="B69" s="39" t="s">
        <v>73</v>
      </c>
      <c r="C69" s="30">
        <f>'Balance Sheet'!C19/'Income Statement'!C38</f>
        <v>4.7892324130562165E-2</v>
      </c>
      <c r="D69" s="30">
        <f>'Balance Sheet'!D19/'Income Statement'!D38</f>
        <v>4.0317755766801834E-2</v>
      </c>
      <c r="E69" s="30">
        <f>'Balance Sheet'!E19/'Income Statement'!E38</f>
        <v>3.8050853967684942E-2</v>
      </c>
      <c r="F69" s="30">
        <f>'Balance Sheet'!F19/'Income Statement'!F38</f>
        <v>2.9451159553417153E-2</v>
      </c>
      <c r="G69" s="42">
        <f>'Balance Sheet'!G19/'Income Statement'!G38</f>
        <v>2.7322662786467805E-2</v>
      </c>
      <c r="I69" s="475">
        <f t="shared" si="12"/>
        <v>3.1608225435856632E-2</v>
      </c>
      <c r="J69" s="42">
        <f t="shared" si="11"/>
        <v>3.6606951240986778E-2</v>
      </c>
      <c r="L69" s="129">
        <v>2.5000000000000001E-2</v>
      </c>
      <c r="M69" s="34">
        <v>2.5999999999999999E-2</v>
      </c>
      <c r="N69" s="34">
        <v>2.7E-2</v>
      </c>
      <c r="O69" s="34">
        <v>2.8000000000000001E-2</v>
      </c>
      <c r="P69" s="54">
        <v>2.9000000000000001E-2</v>
      </c>
    </row>
    <row r="70" spans="1:33" ht="15" customHeight="1" x14ac:dyDescent="0.2">
      <c r="B70" s="39" t="s">
        <v>74</v>
      </c>
      <c r="C70" s="30">
        <f>'Balance Sheet'!C20/'Income Statement'!C38</f>
        <v>0</v>
      </c>
      <c r="D70" s="30">
        <f>'Balance Sheet'!D20/'Income Statement'!D38</f>
        <v>0</v>
      </c>
      <c r="E70" s="30">
        <f>'Balance Sheet'!E20/'Income Statement'!E38</f>
        <v>1.4964279312728855E-2</v>
      </c>
      <c r="F70" s="30">
        <f>'Balance Sheet'!F20/'Income Statement'!F38</f>
        <v>0</v>
      </c>
      <c r="G70" s="42">
        <f>'Balance Sheet'!G20/'Income Statement'!G38</f>
        <v>0</v>
      </c>
      <c r="I70" s="475">
        <f t="shared" si="12"/>
        <v>4.9880931042429518E-3</v>
      </c>
      <c r="J70" s="42">
        <f t="shared" si="11"/>
        <v>2.9928558625457709E-3</v>
      </c>
      <c r="L70" s="129">
        <v>0</v>
      </c>
      <c r="M70" s="34">
        <v>0</v>
      </c>
      <c r="N70" s="34">
        <v>0</v>
      </c>
      <c r="O70" s="34">
        <v>0</v>
      </c>
      <c r="P70" s="54">
        <v>0</v>
      </c>
    </row>
    <row r="71" spans="1:33" ht="15" customHeight="1" x14ac:dyDescent="0.2">
      <c r="B71" s="39"/>
      <c r="C71" s="30"/>
      <c r="D71" s="30"/>
      <c r="E71" s="30"/>
      <c r="F71" s="30"/>
      <c r="G71" s="42"/>
      <c r="I71" s="475"/>
      <c r="J71" s="42"/>
      <c r="L71" s="129"/>
      <c r="M71" s="34"/>
      <c r="N71" s="34"/>
      <c r="O71" s="34"/>
      <c r="P71" s="54"/>
    </row>
    <row r="72" spans="1:33" ht="15" customHeight="1" x14ac:dyDescent="0.2">
      <c r="A72" t="s">
        <v>21</v>
      </c>
      <c r="B72" s="408" t="s">
        <v>75</v>
      </c>
      <c r="C72" s="485"/>
      <c r="D72" s="485"/>
      <c r="E72" s="485"/>
      <c r="F72" s="485"/>
      <c r="G72" s="486"/>
      <c r="I72" s="475"/>
      <c r="J72" s="42"/>
      <c r="L72" s="130"/>
      <c r="M72" s="131"/>
      <c r="N72" s="131"/>
      <c r="O72" s="131"/>
      <c r="P72" s="132"/>
      <c r="S72" s="411"/>
      <c r="Z72" s="411"/>
      <c r="AG72" s="411"/>
    </row>
    <row r="73" spans="1:33" ht="15" customHeight="1" x14ac:dyDescent="0.2">
      <c r="B73" s="39" t="s">
        <v>76</v>
      </c>
      <c r="C73" s="30">
        <f>'Balance Sheet'!C23/'Income Statement'!C38</f>
        <v>3.0549523776697802E-2</v>
      </c>
      <c r="D73" s="30">
        <f>'Balance Sheet'!D23/'Income Statement'!D38</f>
        <v>2.9831150701322875E-2</v>
      </c>
      <c r="E73" s="30">
        <f>'Balance Sheet'!E23/'Income Statement'!E38</f>
        <v>2.8238547614779914E-2</v>
      </c>
      <c r="F73" s="30">
        <f>'Balance Sheet'!F23/'Income Statement'!F38</f>
        <v>2.1803084319017809E-2</v>
      </c>
      <c r="G73" s="42">
        <f>'Balance Sheet'!G23/'Income Statement'!G38</f>
        <v>2.0771189523463077E-2</v>
      </c>
      <c r="I73" s="475">
        <f t="shared" ref="I73:I82" si="13">AVERAGE(E73:G73)</f>
        <v>2.3604273819086932E-2</v>
      </c>
      <c r="J73" s="42">
        <f t="shared" ref="J73:J82" si="14">AVERAGE(C73:G73)</f>
        <v>2.6238699187056298E-2</v>
      </c>
      <c r="L73" s="129">
        <v>2.0500000000000001E-2</v>
      </c>
      <c r="M73" s="34">
        <v>0.02</v>
      </c>
      <c r="N73" s="34">
        <v>1.95E-2</v>
      </c>
      <c r="O73" s="34">
        <v>1.9E-2</v>
      </c>
      <c r="P73" s="54">
        <v>1.9E-2</v>
      </c>
    </row>
    <row r="74" spans="1:33" ht="15" customHeight="1" x14ac:dyDescent="0.2">
      <c r="B74" s="39" t="s">
        <v>77</v>
      </c>
      <c r="C74" s="30">
        <f>'Balance Sheet'!C24/'Income Statement'!C38</f>
        <v>8.7943335746044876E-2</v>
      </c>
      <c r="D74" s="30">
        <f>'Balance Sheet'!D24/'Income Statement'!D38</f>
        <v>9.456225486937446E-2</v>
      </c>
      <c r="E74" s="30">
        <f>'Balance Sheet'!E24/'Income Statement'!E38</f>
        <v>0.10147747932297135</v>
      </c>
      <c r="F74" s="30">
        <f>'Balance Sheet'!F24/'Income Statement'!F38</f>
        <v>0.11518648759109909</v>
      </c>
      <c r="G74" s="42">
        <f>'Balance Sheet'!G24/'Income Statement'!G38</f>
        <v>0.11034194252455438</v>
      </c>
      <c r="I74" s="475">
        <f t="shared" si="13"/>
        <v>0.10900196981287495</v>
      </c>
      <c r="J74" s="42">
        <f t="shared" si="14"/>
        <v>0.10190230001080884</v>
      </c>
      <c r="L74" s="129">
        <v>0.1019</v>
      </c>
      <c r="M74" s="34">
        <v>0.1019</v>
      </c>
      <c r="N74" s="34">
        <v>0.1019</v>
      </c>
      <c r="O74" s="34">
        <v>0.1019</v>
      </c>
      <c r="P74" s="54">
        <v>0.1019</v>
      </c>
    </row>
    <row r="75" spans="1:33" ht="15" customHeight="1" x14ac:dyDescent="0.2">
      <c r="B75" s="39" t="s">
        <v>78</v>
      </c>
      <c r="C75" s="30">
        <f>'Balance Sheet'!C25/'Income Statement'!C44</f>
        <v>4.0055855497974635E-2</v>
      </c>
      <c r="D75" s="30">
        <f>'Balance Sheet'!D25/'Income Statement'!D44</f>
        <v>4.5176697539831029E-2</v>
      </c>
      <c r="E75" s="30">
        <f>'Balance Sheet'!E25/'Income Statement'!E44</f>
        <v>4.58043474768247E-2</v>
      </c>
      <c r="F75" s="30">
        <f>'Balance Sheet'!F25/'Income Statement'!F44</f>
        <v>3.9099047554942284E-2</v>
      </c>
      <c r="G75" s="42">
        <f>'Balance Sheet'!G25/'Income Statement'!G44</f>
        <v>4.0116672939405344E-2</v>
      </c>
      <c r="I75" s="475">
        <f t="shared" si="13"/>
        <v>4.1673355990390772E-2</v>
      </c>
      <c r="J75" s="42">
        <f t="shared" si="14"/>
        <v>4.20505242017956E-2</v>
      </c>
      <c r="L75" s="129">
        <v>0.04</v>
      </c>
      <c r="M75" s="34">
        <v>4.1000000000000002E-2</v>
      </c>
      <c r="N75" s="34">
        <v>4.2000000000000003E-2</v>
      </c>
      <c r="O75" s="34">
        <v>4.2999999999999997E-2</v>
      </c>
      <c r="P75" s="54">
        <v>4.3999999999999997E-2</v>
      </c>
    </row>
    <row r="76" spans="1:33" ht="15" customHeight="1" x14ac:dyDescent="0.2">
      <c r="B76" s="39" t="s">
        <v>79</v>
      </c>
      <c r="C76" s="30">
        <f>'Balance Sheet'!C27/'Income Statement'!C40</f>
        <v>6.2286798295237041E-2</v>
      </c>
      <c r="D76" s="30">
        <f>'Balance Sheet'!D27/'Income Statement'!D40</f>
        <v>6.4133168848230448E-2</v>
      </c>
      <c r="E76" s="30">
        <f>'Balance Sheet'!E27/'Income Statement'!E40</f>
        <v>7.4401536610339242E-2</v>
      </c>
      <c r="F76" s="30">
        <f>'Balance Sheet'!F27/'Income Statement'!F40</f>
        <v>5.1433080012492534E-2</v>
      </c>
      <c r="G76" s="42">
        <f>'Balance Sheet'!G27/'Income Statement'!G40</f>
        <v>4.208548264811085E-2</v>
      </c>
      <c r="I76" s="475">
        <f t="shared" si="13"/>
        <v>5.5973366423647537E-2</v>
      </c>
      <c r="J76" s="42">
        <f t="shared" si="14"/>
        <v>5.8868013282882027E-2</v>
      </c>
      <c r="L76" s="129">
        <v>0.04</v>
      </c>
      <c r="M76" s="34">
        <v>0.04</v>
      </c>
      <c r="N76" s="34">
        <v>0.04</v>
      </c>
      <c r="O76" s="34">
        <v>0.04</v>
      </c>
      <c r="P76" s="54">
        <v>0.04</v>
      </c>
    </row>
    <row r="77" spans="1:33" ht="15" customHeight="1" x14ac:dyDescent="0.2">
      <c r="B77" s="39" t="s">
        <v>80</v>
      </c>
      <c r="C77" s="30">
        <f>'Balance Sheet'!C31/'Income Statement'!C38</f>
        <v>3.6897252955571641E-2</v>
      </c>
      <c r="D77" s="30">
        <f>'Balance Sheet'!D31/'Income Statement'!D38</f>
        <v>0</v>
      </c>
      <c r="E77" s="30">
        <f>'Balance Sheet'!E31/'Income Statement'!E38</f>
        <v>1.077510050444268E-2</v>
      </c>
      <c r="F77" s="30">
        <f>'Balance Sheet'!F31/'Income Statement'!F38</f>
        <v>9.7523075740224424E-3</v>
      </c>
      <c r="G77" s="42">
        <f>'Balance Sheet'!G31/'Income Statement'!G38</f>
        <v>0</v>
      </c>
      <c r="I77" s="475">
        <f t="shared" si="13"/>
        <v>6.8424693594883734E-3</v>
      </c>
      <c r="J77" s="42">
        <f t="shared" si="14"/>
        <v>1.1484932206807352E-2</v>
      </c>
      <c r="L77" s="129">
        <v>0</v>
      </c>
      <c r="M77" s="34">
        <v>0</v>
      </c>
      <c r="N77" s="34">
        <v>0</v>
      </c>
      <c r="O77" s="34">
        <v>0</v>
      </c>
      <c r="P77" s="54">
        <v>0</v>
      </c>
    </row>
    <row r="78" spans="1:33" ht="15" customHeight="1" x14ac:dyDescent="0.2">
      <c r="B78" s="39" t="s">
        <v>81</v>
      </c>
      <c r="C78" s="30">
        <f>'Balance Sheet'!C33/'Income Statement'!C38</f>
        <v>7.216879789519641E-2</v>
      </c>
      <c r="D78" s="30">
        <f>'Balance Sheet'!D33/'Income Statement'!D38</f>
        <v>6.3601010436747984E-2</v>
      </c>
      <c r="E78" s="30">
        <f>'Balance Sheet'!E33/'Income Statement'!E38</f>
        <v>5.5842060789183932E-2</v>
      </c>
      <c r="F78" s="30">
        <f>'Balance Sheet'!F33/'Income Statement'!F38</f>
        <v>4.1493843097106277E-2</v>
      </c>
      <c r="G78" s="42">
        <f>'Balance Sheet'!G33/'Income Statement'!G38</f>
        <v>3.6151327755547469E-2</v>
      </c>
      <c r="I78" s="475">
        <f t="shared" si="13"/>
        <v>4.4495743880612559E-2</v>
      </c>
      <c r="J78" s="42">
        <f t="shared" si="14"/>
        <v>5.385140799475642E-2</v>
      </c>
      <c r="L78" s="129">
        <v>3.5000000000000003E-2</v>
      </c>
      <c r="M78" s="34">
        <v>3.4000000000000002E-2</v>
      </c>
      <c r="N78" s="34">
        <v>3.3000000000000002E-2</v>
      </c>
      <c r="O78" s="34">
        <v>3.2500000000000001E-2</v>
      </c>
      <c r="P78" s="54">
        <v>3.2500000000000001E-2</v>
      </c>
    </row>
    <row r="79" spans="1:33" ht="15" customHeight="1" x14ac:dyDescent="0.2">
      <c r="B79" s="39" t="s">
        <v>82</v>
      </c>
      <c r="C79" s="30">
        <f>'Balance Sheet'!C34/'Income Statement'!C38</f>
        <v>4.7944025092200047E-2</v>
      </c>
      <c r="D79" s="30">
        <f>'Balance Sheet'!D34/'Income Statement'!D38</f>
        <v>4.2938022114383211E-2</v>
      </c>
      <c r="E79" s="30">
        <f>'Balance Sheet'!E34/'Income Statement'!E38</f>
        <v>3.6734693877551024E-2</v>
      </c>
      <c r="F79" s="30">
        <f>'Balance Sheet'!F34/'Income Statement'!F38</f>
        <v>2.8225039555521383E-2</v>
      </c>
      <c r="G79" s="42">
        <f>'Balance Sheet'!G34/'Income Statement'!G38</f>
        <v>2.5991269552564568E-2</v>
      </c>
      <c r="I79" s="475">
        <f t="shared" si="13"/>
        <v>3.0317000995212322E-2</v>
      </c>
      <c r="J79" s="42">
        <f t="shared" si="14"/>
        <v>3.6366610038444047E-2</v>
      </c>
      <c r="L79" s="129">
        <v>2.5000000000000001E-2</v>
      </c>
      <c r="M79" s="34">
        <v>2.4E-2</v>
      </c>
      <c r="N79" s="34">
        <v>2.3E-2</v>
      </c>
      <c r="O79" s="34">
        <v>2.2499999999999999E-2</v>
      </c>
      <c r="P79" s="54">
        <v>2.2499999999999999E-2</v>
      </c>
    </row>
    <row r="80" spans="1:33" ht="15" customHeight="1" x14ac:dyDescent="0.2">
      <c r="B80" s="39" t="s">
        <v>83</v>
      </c>
      <c r="C80" s="30">
        <f>'Balance Sheet'!C35/'Income Statement'!C38</f>
        <v>2.1611001964636542E-2</v>
      </c>
      <c r="D80" s="30">
        <f>'Balance Sheet'!D35/'Income Statement'!D38</f>
        <v>1.7405659332136763E-2</v>
      </c>
      <c r="E80" s="30">
        <f>'Balance Sheet'!E35/'Income Statement'!E38</f>
        <v>1.762220572043121E-2</v>
      </c>
      <c r="F80" s="30">
        <f>'Balance Sheet'!F35/'Income Statement'!F38</f>
        <v>1.3009821099785126E-2</v>
      </c>
      <c r="G80" s="42">
        <f>'Balance Sheet'!G35/'Income Statement'!G38</f>
        <v>1.541651509639869E-2</v>
      </c>
      <c r="I80" s="475">
        <f t="shared" si="13"/>
        <v>1.5349513972205008E-2</v>
      </c>
      <c r="J80" s="42">
        <f t="shared" si="14"/>
        <v>1.7013040642677665E-2</v>
      </c>
      <c r="L80" s="129">
        <v>1.4999999999999999E-2</v>
      </c>
      <c r="M80" s="34">
        <v>1.4800000000000001E-2</v>
      </c>
      <c r="N80" s="34">
        <v>1.4500000000000001E-2</v>
      </c>
      <c r="O80" s="34">
        <v>1.4500000000000001E-2</v>
      </c>
      <c r="P80" s="54">
        <v>1.4500000000000001E-2</v>
      </c>
    </row>
    <row r="81" spans="1:16" ht="15" customHeight="1" x14ac:dyDescent="0.2">
      <c r="B81" s="39" t="s">
        <v>84</v>
      </c>
      <c r="C81" s="30">
        <f>'Balance Sheet'!C67/'Income Statement'!C38</f>
        <v>4.7892324130562165E-2</v>
      </c>
      <c r="D81" s="30">
        <f>'Balance Sheet'!D67/'Income Statement'!D38</f>
        <v>4.0317755766801834E-2</v>
      </c>
      <c r="E81" s="30">
        <f>'Balance Sheet'!E67/'Income Statement'!E38</f>
        <v>3.8050853967684942E-2</v>
      </c>
      <c r="F81" s="30">
        <f>'Balance Sheet'!F67/'Income Statement'!F38</f>
        <v>2.9451159553417153E-2</v>
      </c>
      <c r="G81" s="42">
        <f>'Balance Sheet'!G67/'Income Statement'!G38</f>
        <v>2.7322662786467805E-2</v>
      </c>
      <c r="I81" s="475">
        <f t="shared" si="13"/>
        <v>3.1608225435856632E-2</v>
      </c>
      <c r="J81" s="42">
        <f t="shared" si="14"/>
        <v>3.6606951240986778E-2</v>
      </c>
      <c r="L81" s="129">
        <v>2.6499999999999999E-2</v>
      </c>
      <c r="M81" s="34">
        <v>2.5999999999999999E-2</v>
      </c>
      <c r="N81" s="34">
        <v>2.5499999999999998E-2</v>
      </c>
      <c r="O81" s="34">
        <v>2.5000000000000001E-2</v>
      </c>
      <c r="P81" s="54">
        <v>2.5000000000000001E-2</v>
      </c>
    </row>
    <row r="82" spans="1:16" ht="15" customHeight="1" x14ac:dyDescent="0.2">
      <c r="B82" s="39" t="s">
        <v>85</v>
      </c>
      <c r="C82" s="30">
        <f>'Balance Sheet'!C68/'Income Statement'!C38</f>
        <v>0</v>
      </c>
      <c r="D82" s="30">
        <f>'Balance Sheet'!D68/'Income Statement'!D38</f>
        <v>0</v>
      </c>
      <c r="E82" s="30">
        <f>'Balance Sheet'!E68/'Income Statement'!E38</f>
        <v>3.0266560827593271E-3</v>
      </c>
      <c r="F82" s="30">
        <f>'Balance Sheet'!F68/'Income Statement'!F38</f>
        <v>0</v>
      </c>
      <c r="G82" s="42">
        <f>'Balance Sheet'!G68/'Income Statement'!G38</f>
        <v>0</v>
      </c>
      <c r="I82" s="475">
        <f t="shared" si="13"/>
        <v>1.0088853609197758E-3</v>
      </c>
      <c r="J82" s="42">
        <f t="shared" si="14"/>
        <v>6.0533121655186538E-4</v>
      </c>
      <c r="L82" s="129">
        <v>0</v>
      </c>
      <c r="M82" s="34">
        <v>0</v>
      </c>
      <c r="N82" s="34">
        <v>0</v>
      </c>
      <c r="O82" s="34">
        <v>0</v>
      </c>
      <c r="P82" s="54">
        <v>0</v>
      </c>
    </row>
    <row r="83" spans="1:16" ht="15" customHeight="1" x14ac:dyDescent="0.2">
      <c r="B83" s="39"/>
      <c r="G83" s="40"/>
      <c r="I83" s="39"/>
      <c r="J83" s="40"/>
      <c r="L83" s="39"/>
      <c r="P83" s="40"/>
    </row>
    <row r="84" spans="1:16" ht="15" customHeight="1" x14ac:dyDescent="0.2">
      <c r="A84" t="s">
        <v>21</v>
      </c>
      <c r="B84" s="468" t="s">
        <v>86</v>
      </c>
      <c r="C84" s="55"/>
      <c r="D84" s="55"/>
      <c r="E84" s="55"/>
      <c r="F84" s="55"/>
      <c r="G84" s="469"/>
      <c r="I84" s="470"/>
      <c r="J84" s="469"/>
      <c r="L84" s="470"/>
      <c r="M84" s="55"/>
      <c r="N84" s="55"/>
      <c r="O84" s="55"/>
      <c r="P84" s="469"/>
    </row>
    <row r="85" spans="1:16" ht="15" customHeight="1" x14ac:dyDescent="0.2">
      <c r="B85" s="39" t="s">
        <v>87</v>
      </c>
      <c r="C85" s="31">
        <f>'Balance Sheet'!C71</f>
        <v>54</v>
      </c>
      <c r="D85" s="31">
        <f>'Balance Sheet'!D71</f>
        <v>66</v>
      </c>
      <c r="E85" s="31">
        <f>'Balance Sheet'!E71</f>
        <v>107</v>
      </c>
      <c r="F85" s="31">
        <f>'Balance Sheet'!F71</f>
        <v>0</v>
      </c>
      <c r="G85" s="43">
        <f>'Balance Sheet'!G71</f>
        <v>0</v>
      </c>
      <c r="I85" s="483">
        <f>AVERAGE(E85:G85)</f>
        <v>35.666666666666664</v>
      </c>
      <c r="J85" s="46">
        <f>AVERAGE(C85:G85)</f>
        <v>45.4</v>
      </c>
      <c r="L85" s="52">
        <f>G85</f>
        <v>0</v>
      </c>
      <c r="M85" s="31">
        <f t="shared" ref="M85:P88" si="15">L85</f>
        <v>0</v>
      </c>
      <c r="N85" s="31">
        <f t="shared" si="15"/>
        <v>0</v>
      </c>
      <c r="O85" s="31">
        <f t="shared" si="15"/>
        <v>0</v>
      </c>
      <c r="P85" s="43">
        <f t="shared" si="15"/>
        <v>0</v>
      </c>
    </row>
    <row r="86" spans="1:16" ht="15" customHeight="1" x14ac:dyDescent="0.2">
      <c r="B86" s="39" t="s">
        <v>88</v>
      </c>
      <c r="C86" s="31">
        <f>'Balance Sheet'!C72</f>
        <v>4</v>
      </c>
      <c r="D86" s="31">
        <f>'Balance Sheet'!D72</f>
        <v>4</v>
      </c>
      <c r="E86" s="31">
        <f>'Balance Sheet'!E72</f>
        <v>4</v>
      </c>
      <c r="F86" s="31">
        <f>'Balance Sheet'!F72</f>
        <v>4</v>
      </c>
      <c r="G86" s="43">
        <f>'Balance Sheet'!G72</f>
        <v>4</v>
      </c>
      <c r="I86" s="483">
        <f t="shared" ref="I86:I91" si="16">AVERAGE(E86:G86)</f>
        <v>4</v>
      </c>
      <c r="J86" s="46">
        <f t="shared" ref="J86:J91" si="17">AVERAGE(C86:G86)</f>
        <v>4</v>
      </c>
      <c r="L86" s="52">
        <f>G86</f>
        <v>4</v>
      </c>
      <c r="M86" s="31">
        <f t="shared" si="15"/>
        <v>4</v>
      </c>
      <c r="N86" s="31">
        <f t="shared" si="15"/>
        <v>4</v>
      </c>
      <c r="O86" s="31">
        <f t="shared" si="15"/>
        <v>4</v>
      </c>
      <c r="P86" s="43">
        <f t="shared" si="15"/>
        <v>4</v>
      </c>
    </row>
    <row r="87" spans="1:16" ht="15" customHeight="1" x14ac:dyDescent="0.2">
      <c r="B87" s="39" t="s">
        <v>89</v>
      </c>
      <c r="C87" s="31">
        <f>'Balance Sheet'!C73</f>
        <v>29574</v>
      </c>
      <c r="D87" s="31">
        <f>'Balance Sheet'!D73</f>
        <v>30233</v>
      </c>
      <c r="E87" s="31">
        <f>'Balance Sheet'!E73</f>
        <v>30669</v>
      </c>
      <c r="F87" s="31">
        <f>'Balance Sheet'!F73</f>
        <v>31288</v>
      </c>
      <c r="G87" s="43">
        <f>'Balance Sheet'!G73</f>
        <v>31790</v>
      </c>
      <c r="I87" s="483">
        <f t="shared" si="16"/>
        <v>31249</v>
      </c>
      <c r="J87" s="46">
        <f t="shared" si="17"/>
        <v>30710.799999999999</v>
      </c>
      <c r="L87" s="52">
        <f>G87+648</f>
        <v>32438</v>
      </c>
      <c r="M87" s="31">
        <f t="shared" si="15"/>
        <v>32438</v>
      </c>
      <c r="N87" s="31">
        <f t="shared" si="15"/>
        <v>32438</v>
      </c>
      <c r="O87" s="31">
        <f t="shared" si="15"/>
        <v>32438</v>
      </c>
      <c r="P87" s="43">
        <f t="shared" si="15"/>
        <v>32438</v>
      </c>
    </row>
    <row r="88" spans="1:16" ht="15" customHeight="1" x14ac:dyDescent="0.2">
      <c r="B88" s="39" t="s">
        <v>90</v>
      </c>
      <c r="C88" s="31">
        <f>'Balance Sheet'!C74</f>
        <v>-884</v>
      </c>
      <c r="D88" s="31">
        <f>'Balance Sheet'!D74</f>
        <v>-1395</v>
      </c>
      <c r="E88" s="31">
        <f>'Balance Sheet'!E74</f>
        <v>-1864</v>
      </c>
      <c r="F88" s="31">
        <f>'Balance Sheet'!F74</f>
        <v>-2341</v>
      </c>
      <c r="G88" s="43">
        <f>'Balance Sheet'!G74</f>
        <v>-2806</v>
      </c>
      <c r="I88" s="483">
        <f t="shared" si="16"/>
        <v>-2337</v>
      </c>
      <c r="J88" s="46">
        <f t="shared" si="17"/>
        <v>-1858</v>
      </c>
      <c r="L88" s="52">
        <f>G88</f>
        <v>-2806</v>
      </c>
      <c r="M88" s="31">
        <f t="shared" si="15"/>
        <v>-2806</v>
      </c>
      <c r="N88" s="31">
        <f t="shared" si="15"/>
        <v>-2806</v>
      </c>
      <c r="O88" s="31">
        <f t="shared" si="15"/>
        <v>-2806</v>
      </c>
      <c r="P88" s="43">
        <f t="shared" si="15"/>
        <v>-2806</v>
      </c>
    </row>
    <row r="89" spans="1:16" ht="15" customHeight="1" x14ac:dyDescent="0.2">
      <c r="B89" s="39" t="s">
        <v>91</v>
      </c>
      <c r="C89" s="31">
        <f>'Balance Sheet'!C75</f>
        <v>32593</v>
      </c>
      <c r="D89" s="31">
        <f>'Balance Sheet'!D75</f>
        <v>37874</v>
      </c>
      <c r="E89" s="31">
        <f>'Balance Sheet'!E75</f>
        <v>41652</v>
      </c>
      <c r="F89" s="31">
        <f>'Balance Sheet'!F75</f>
        <v>43519</v>
      </c>
      <c r="G89" s="43">
        <f>'Balance Sheet'!G75</f>
        <v>47865</v>
      </c>
      <c r="I89" s="483">
        <f t="shared" si="16"/>
        <v>44345.333333333336</v>
      </c>
      <c r="J89" s="46">
        <f t="shared" si="17"/>
        <v>40700.6</v>
      </c>
      <c r="L89" s="52">
        <f ca="1">Calcs!H9</f>
        <v>51876.584273199609</v>
      </c>
      <c r="M89" s="31">
        <f ca="1">Calcs!I9</f>
        <v>60372.402120225539</v>
      </c>
      <c r="N89" s="31">
        <f ca="1">Calcs!J9</f>
        <v>75236.732560792574</v>
      </c>
      <c r="O89" s="31">
        <f ca="1">Calcs!K9</f>
        <v>99399.82577318314</v>
      </c>
      <c r="P89" s="43">
        <f ca="1">Calcs!L9</f>
        <v>125976.24506450967</v>
      </c>
    </row>
    <row r="90" spans="1:16" ht="15" customHeight="1" x14ac:dyDescent="0.2">
      <c r="B90" s="39" t="s">
        <v>92</v>
      </c>
      <c r="C90" s="31">
        <f>'Balance Sheet'!C76</f>
        <v>-14175</v>
      </c>
      <c r="D90" s="31">
        <f>'Balance Sheet'!D76</f>
        <v>-21844</v>
      </c>
      <c r="E90" s="31">
        <f>'Balance Sheet'!E76</f>
        <v>-24238</v>
      </c>
      <c r="F90" s="31">
        <f>'Balance Sheet'!F76</f>
        <v>-31437</v>
      </c>
      <c r="G90" s="43">
        <f>'Balance Sheet'!G76</f>
        <v>-35140</v>
      </c>
      <c r="I90" s="483">
        <f t="shared" si="16"/>
        <v>-30271.666666666668</v>
      </c>
      <c r="J90" s="46">
        <f t="shared" si="17"/>
        <v>-25366.799999999999</v>
      </c>
      <c r="L90" s="52">
        <f t="shared" ref="L90:L91" si="18">G90</f>
        <v>-35140</v>
      </c>
      <c r="M90" s="31">
        <f t="shared" ref="M90:P91" si="19">L90</f>
        <v>-35140</v>
      </c>
      <c r="N90" s="31">
        <f t="shared" si="19"/>
        <v>-35140</v>
      </c>
      <c r="O90" s="31">
        <f t="shared" si="19"/>
        <v>-35140</v>
      </c>
      <c r="P90" s="43">
        <f t="shared" si="19"/>
        <v>-35140</v>
      </c>
    </row>
    <row r="91" spans="1:16" ht="15" customHeight="1" x14ac:dyDescent="0.2">
      <c r="B91" s="328" t="s">
        <v>93</v>
      </c>
      <c r="C91" s="44">
        <f>'Balance Sheet'!C78</f>
        <v>18</v>
      </c>
      <c r="D91" s="44">
        <f>'Balance Sheet'!D78</f>
        <v>13</v>
      </c>
      <c r="E91" s="44">
        <f>'Balance Sheet'!E78</f>
        <v>21</v>
      </c>
      <c r="F91" s="44">
        <f>'Balance Sheet'!F78</f>
        <v>210</v>
      </c>
      <c r="G91" s="45">
        <f>'Balance Sheet'!G78</f>
        <v>161</v>
      </c>
      <c r="I91" s="487">
        <f t="shared" si="16"/>
        <v>130.66666666666666</v>
      </c>
      <c r="J91" s="488">
        <f t="shared" si="17"/>
        <v>84.6</v>
      </c>
      <c r="L91" s="53">
        <f t="shared" si="18"/>
        <v>161</v>
      </c>
      <c r="M91" s="44">
        <f t="shared" si="19"/>
        <v>161</v>
      </c>
      <c r="N91" s="44">
        <f t="shared" si="19"/>
        <v>161</v>
      </c>
      <c r="O91" s="44">
        <f t="shared" si="19"/>
        <v>161</v>
      </c>
      <c r="P91" s="45">
        <f t="shared" si="19"/>
        <v>161</v>
      </c>
    </row>
  </sheetData>
  <dataValidations disablePrompts="1" count="1">
    <dataValidation type="list" allowBlank="1" showInputMessage="1" showErrorMessage="1" sqref="N4" xr:uid="{C98F18E0-89B1-4E1F-B85B-DD77BECFD007}">
      <formula1>$AO$5:$AO$7</formula1>
    </dataValidation>
  </dataValidations>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76FE0-BD24-48F7-8C7D-50E1D0B56C1E}">
  <dimension ref="A1:T66"/>
  <sheetViews>
    <sheetView showGridLines="0" zoomScale="70" zoomScaleNormal="70" workbookViewId="0"/>
  </sheetViews>
  <sheetFormatPr baseColWidth="10" defaultColWidth="15.5" defaultRowHeight="15" customHeight="1" x14ac:dyDescent="0.2"/>
  <cols>
    <col min="1" max="1" width="2.5" customWidth="1"/>
    <col min="2" max="2" width="51.5" customWidth="1"/>
    <col min="13" max="13" width="31.5" customWidth="1"/>
  </cols>
  <sheetData>
    <row r="1" spans="2:20" ht="15" customHeight="1" thickBot="1" x14ac:dyDescent="0.25"/>
    <row r="2" spans="2:20" ht="15" customHeight="1" x14ac:dyDescent="0.2">
      <c r="B2" s="90" t="s">
        <v>94</v>
      </c>
      <c r="C2" s="458" t="s">
        <v>12</v>
      </c>
      <c r="D2" s="458"/>
      <c r="E2" s="458"/>
      <c r="F2" s="458"/>
      <c r="G2" s="458"/>
      <c r="H2" s="458" t="s">
        <v>14</v>
      </c>
      <c r="I2" s="458"/>
      <c r="J2" s="458"/>
      <c r="K2" s="458"/>
      <c r="L2" s="459"/>
      <c r="M2" s="11"/>
      <c r="N2" s="12"/>
      <c r="O2" s="12"/>
      <c r="P2" s="12"/>
      <c r="R2" s="12"/>
      <c r="S2" s="12"/>
      <c r="T2" s="12"/>
    </row>
    <row r="3" spans="2:20" ht="15" customHeight="1" x14ac:dyDescent="0.2">
      <c r="B3" s="203" t="s">
        <v>95</v>
      </c>
      <c r="C3" s="452">
        <v>2021</v>
      </c>
      <c r="D3" s="452">
        <f>C3+1</f>
        <v>2022</v>
      </c>
      <c r="E3" s="452">
        <f t="shared" ref="E3:L3" si="0">D3+1</f>
        <v>2023</v>
      </c>
      <c r="F3" s="452">
        <f t="shared" si="0"/>
        <v>2024</v>
      </c>
      <c r="G3" s="452">
        <f t="shared" si="0"/>
        <v>2025</v>
      </c>
      <c r="H3" s="452">
        <f t="shared" si="0"/>
        <v>2026</v>
      </c>
      <c r="I3" s="452">
        <f t="shared" si="0"/>
        <v>2027</v>
      </c>
      <c r="J3" s="452">
        <f t="shared" si="0"/>
        <v>2028</v>
      </c>
      <c r="K3" s="452">
        <f t="shared" si="0"/>
        <v>2029</v>
      </c>
      <c r="L3" s="461">
        <f t="shared" si="0"/>
        <v>2030</v>
      </c>
      <c r="M3" s="11"/>
      <c r="N3" s="11"/>
      <c r="O3" s="11"/>
      <c r="P3" s="11"/>
      <c r="R3" s="11"/>
      <c r="S3" s="11"/>
      <c r="T3" s="11"/>
    </row>
    <row r="4" spans="2:20" ht="15" customHeight="1" x14ac:dyDescent="0.2">
      <c r="B4" s="19" t="s">
        <v>96</v>
      </c>
      <c r="C4" s="20"/>
      <c r="D4" s="20"/>
      <c r="E4" s="20"/>
      <c r="F4" s="20"/>
      <c r="G4" s="20"/>
      <c r="H4" s="20"/>
      <c r="I4" s="20"/>
      <c r="J4" s="20"/>
      <c r="K4" s="20"/>
      <c r="L4" s="21"/>
      <c r="M4" s="1"/>
      <c r="N4" s="2"/>
      <c r="O4" s="2"/>
      <c r="P4" s="2"/>
      <c r="R4" s="2"/>
      <c r="S4" s="2"/>
      <c r="T4" s="2"/>
    </row>
    <row r="5" spans="2:20" ht="15" customHeight="1" x14ac:dyDescent="0.2">
      <c r="B5" s="19" t="s">
        <v>22</v>
      </c>
      <c r="C5" s="20"/>
      <c r="D5" s="20"/>
      <c r="E5" s="20"/>
      <c r="F5" s="20"/>
      <c r="G5" s="20"/>
      <c r="H5" s="20"/>
      <c r="I5" s="20"/>
      <c r="J5" s="20"/>
      <c r="K5" s="20"/>
      <c r="L5" s="21"/>
      <c r="M5" s="1"/>
      <c r="N5" s="2"/>
      <c r="O5" s="2"/>
      <c r="P5" s="2"/>
      <c r="R5" s="2"/>
      <c r="S5" s="2"/>
      <c r="T5" s="2"/>
    </row>
    <row r="6" spans="2:20" ht="15" customHeight="1" x14ac:dyDescent="0.2">
      <c r="B6" s="19" t="s">
        <v>23</v>
      </c>
      <c r="C6" s="22">
        <v>64992</v>
      </c>
      <c r="D6" s="22">
        <v>64946</v>
      </c>
      <c r="E6" s="22">
        <v>67514</v>
      </c>
      <c r="F6" s="22">
        <v>105340</v>
      </c>
      <c r="G6" s="22">
        <v>125573</v>
      </c>
      <c r="H6" s="23">
        <f>(Assumptions!L6*'Income Statement'!G6)+'Income Statement'!G6</f>
        <v>143153.22</v>
      </c>
      <c r="I6" s="23">
        <f>(Assumptions!M6*'Income Statement'!H6)+'Income Statement'!H6</f>
        <v>160331.60639999999</v>
      </c>
      <c r="J6" s="23">
        <f>(Assumptions!N6*'Income Statement'!I6)+'Income Statement'!I6</f>
        <v>173158.13491199998</v>
      </c>
      <c r="K6" s="23">
        <f>(Assumptions!O6*'Income Statement'!J6)+'Income Statement'!J6</f>
        <v>184413.41368127998</v>
      </c>
      <c r="L6" s="24">
        <f>(Assumptions!P6*'Income Statement'!K6)+'Income Statement'!K6</f>
        <v>196400.2855705632</v>
      </c>
      <c r="M6" s="1"/>
      <c r="N6" s="2"/>
      <c r="O6" s="2"/>
      <c r="P6" s="2"/>
      <c r="R6" s="2"/>
      <c r="S6" s="2"/>
      <c r="T6" s="2"/>
    </row>
    <row r="7" spans="2:20" ht="15" customHeight="1" x14ac:dyDescent="0.2">
      <c r="B7" s="19" t="s">
        <v>24</v>
      </c>
      <c r="C7" s="22">
        <v>54391</v>
      </c>
      <c r="D7" s="22">
        <v>61283</v>
      </c>
      <c r="E7" s="22">
        <v>65732</v>
      </c>
      <c r="F7" s="22">
        <v>72476</v>
      </c>
      <c r="G7" s="22">
        <v>80492</v>
      </c>
      <c r="H7" s="23">
        <f>(Assumptions!L7*'Income Statement'!G7)+'Income Statement'!G7</f>
        <v>89587.596000000005</v>
      </c>
      <c r="I7" s="23">
        <f>(Assumptions!M7*'Income Statement'!H7)+'Income Statement'!H7</f>
        <v>98546.35560000001</v>
      </c>
      <c r="J7" s="23">
        <f>(Assumptions!N7*'Income Statement'!I7)+'Income Statement'!I7</f>
        <v>107908.25938200002</v>
      </c>
      <c r="K7" s="23">
        <f>(Assumptions!O7*'Income Statement'!J7)+'Income Statement'!J7</f>
        <v>116540.92013256002</v>
      </c>
      <c r="L7" s="24">
        <f>(Assumptions!P7*'Income Statement'!K7)+'Income Statement'!K7</f>
        <v>125864.19374316481</v>
      </c>
      <c r="M7" s="1"/>
      <c r="N7" s="2"/>
      <c r="O7" s="2"/>
      <c r="P7" s="2"/>
      <c r="R7" s="2"/>
      <c r="S7" s="2"/>
      <c r="T7" s="2"/>
    </row>
    <row r="8" spans="2:20" ht="15" customHeight="1" x14ac:dyDescent="0.2">
      <c r="B8" s="19" t="s">
        <v>25</v>
      </c>
      <c r="C8" s="22">
        <v>6428</v>
      </c>
      <c r="D8" s="22">
        <v>6753</v>
      </c>
      <c r="E8" s="22">
        <v>9047</v>
      </c>
      <c r="F8" s="22">
        <v>11545</v>
      </c>
      <c r="G8" s="22">
        <v>13329</v>
      </c>
      <c r="H8" s="23">
        <f>(Assumptions!L8*'Income Statement'!G8)+'Income Statement'!G8</f>
        <v>15188.395500000001</v>
      </c>
      <c r="I8" s="23">
        <f>(Assumptions!M8*'Income Statement'!H8)+'Income Statement'!H8</f>
        <v>16980.626168999999</v>
      </c>
      <c r="J8" s="23">
        <f>(Assumptions!N8*'Income Statement'!I8)+'Income Statement'!I8</f>
        <v>18848.49504759</v>
      </c>
      <c r="K8" s="23">
        <f>(Assumptions!O8*'Income Statement'!J8)+'Income Statement'!J8</f>
        <v>20827.587027586949</v>
      </c>
      <c r="L8" s="24">
        <f>(Assumptions!P8*'Income Statement'!K8)+'Income Statement'!K8</f>
        <v>23014.483665483578</v>
      </c>
      <c r="M8" s="1"/>
      <c r="N8" s="2"/>
      <c r="O8" s="2"/>
      <c r="P8" s="2"/>
      <c r="R8" s="2"/>
      <c r="S8" s="2"/>
      <c r="T8" s="2"/>
    </row>
    <row r="9" spans="2:20" ht="15" customHeight="1" x14ac:dyDescent="0.2">
      <c r="B9" s="19" t="s">
        <v>26</v>
      </c>
      <c r="C9" s="22">
        <v>0</v>
      </c>
      <c r="D9" s="22">
        <v>0</v>
      </c>
      <c r="E9" s="22">
        <v>0</v>
      </c>
      <c r="F9" s="22">
        <v>60</v>
      </c>
      <c r="G9" s="22">
        <v>54</v>
      </c>
      <c r="H9" s="23">
        <f>(Assumptions!L9*'Income Statement'!G9)+'Income Statement'!G9</f>
        <v>48.6</v>
      </c>
      <c r="I9" s="23">
        <f>(Assumptions!M9*'Income Statement'!H9)+'Income Statement'!H9</f>
        <v>43.74</v>
      </c>
      <c r="J9" s="23">
        <f>(Assumptions!N9*'Income Statement'!I9)+'Income Statement'!I9</f>
        <v>39.366</v>
      </c>
      <c r="K9" s="23">
        <f>(Assumptions!O9*'Income Statement'!J9)+'Income Statement'!J9</f>
        <v>35.429400000000001</v>
      </c>
      <c r="L9" s="24">
        <f>(Assumptions!P9*'Income Statement'!K9)+'Income Statement'!K9</f>
        <v>31.88646</v>
      </c>
      <c r="M9" s="1"/>
      <c r="N9" s="2"/>
      <c r="O9" s="2"/>
      <c r="P9" s="2"/>
      <c r="R9" s="2"/>
      <c r="S9" s="2"/>
      <c r="T9" s="2"/>
    </row>
    <row r="10" spans="2:20" ht="15" customHeight="1" x14ac:dyDescent="0.2">
      <c r="B10" s="19" t="s">
        <v>40</v>
      </c>
      <c r="C10" s="22">
        <v>-4398</v>
      </c>
      <c r="D10" s="22">
        <v>-4416</v>
      </c>
      <c r="E10" s="22">
        <v>-5050</v>
      </c>
      <c r="F10" s="22">
        <v>-4059</v>
      </c>
      <c r="G10" s="22">
        <v>-2776</v>
      </c>
      <c r="H10" s="23">
        <f>(Assumptions!L10*'Income Statement'!G10)+'Income Statement'!G10</f>
        <v>-2095.88</v>
      </c>
      <c r="I10" s="23">
        <f>(Assumptions!M10*'Income Statement'!H10)+'Income Statement'!H10</f>
        <v>-1666.2246</v>
      </c>
      <c r="J10" s="23">
        <f>(Assumptions!N10*'Income Statement'!I10)+'Income Statement'!I10</f>
        <v>-1379.6339688</v>
      </c>
      <c r="K10" s="23">
        <f>(Assumptions!O10*'Income Statement'!J10)+'Income Statement'!J10</f>
        <v>-1214.077892544</v>
      </c>
      <c r="L10" s="107">
        <f>(Assumptions!P10*'Income Statement'!K10)+'Income Statement'!K10</f>
        <v>-1068.38854543872</v>
      </c>
      <c r="M10" s="1"/>
      <c r="N10" s="2"/>
      <c r="O10" s="2"/>
      <c r="P10" s="2"/>
      <c r="R10" s="2"/>
      <c r="S10" s="2"/>
      <c r="T10" s="2"/>
    </row>
    <row r="11" spans="2:20" ht="15" customHeight="1" x14ac:dyDescent="0.2">
      <c r="B11" s="78" t="s">
        <v>97</v>
      </c>
      <c r="C11" s="79">
        <f>SUM(C6:C10)</f>
        <v>121413</v>
      </c>
      <c r="D11" s="79">
        <f t="shared" ref="D11:L11" si="1">SUM(D6:D10)</f>
        <v>128566</v>
      </c>
      <c r="E11" s="79">
        <f t="shared" si="1"/>
        <v>137243</v>
      </c>
      <c r="F11" s="79">
        <f t="shared" si="1"/>
        <v>185362</v>
      </c>
      <c r="G11" s="79">
        <f t="shared" si="1"/>
        <v>216672</v>
      </c>
      <c r="H11" s="79">
        <f t="shared" si="1"/>
        <v>245881.93150000001</v>
      </c>
      <c r="I11" s="79">
        <f t="shared" si="1"/>
        <v>274236.10356899997</v>
      </c>
      <c r="J11" s="79">
        <f t="shared" si="1"/>
        <v>298574.62137278996</v>
      </c>
      <c r="K11" s="79">
        <f t="shared" si="1"/>
        <v>320603.27234888298</v>
      </c>
      <c r="L11" s="105">
        <f t="shared" si="1"/>
        <v>344242.46089377289</v>
      </c>
      <c r="M11" s="1"/>
      <c r="N11" s="2"/>
      <c r="O11" s="2"/>
      <c r="P11" s="2"/>
      <c r="R11" s="2"/>
      <c r="S11" s="2"/>
      <c r="T11" s="2"/>
    </row>
    <row r="12" spans="2:20" ht="15" customHeight="1" x14ac:dyDescent="0.2">
      <c r="B12" s="19" t="s">
        <v>28</v>
      </c>
      <c r="C12" s="23"/>
      <c r="D12" s="23"/>
      <c r="E12" s="23"/>
      <c r="F12" s="23"/>
      <c r="G12" s="23"/>
      <c r="H12" s="23"/>
      <c r="I12" s="23"/>
      <c r="J12" s="23"/>
      <c r="K12" s="23"/>
      <c r="L12" s="24"/>
      <c r="M12" s="1"/>
      <c r="N12" s="2"/>
      <c r="O12" s="2"/>
      <c r="P12" s="2"/>
      <c r="R12" s="2"/>
      <c r="S12" s="2"/>
      <c r="T12" s="2"/>
    </row>
    <row r="13" spans="2:20" ht="15" customHeight="1" x14ac:dyDescent="0.2">
      <c r="B13" s="19" t="s">
        <v>29</v>
      </c>
      <c r="C13" s="23"/>
      <c r="D13" s="23"/>
      <c r="E13" s="23"/>
      <c r="F13" s="23"/>
      <c r="G13" s="23"/>
      <c r="H13" s="23"/>
      <c r="I13" s="23"/>
      <c r="J13" s="23"/>
      <c r="K13" s="23"/>
      <c r="L13" s="24"/>
      <c r="M13" s="1"/>
      <c r="N13" s="2"/>
      <c r="O13" s="2"/>
      <c r="P13" s="2"/>
      <c r="R13" s="2"/>
      <c r="S13" s="2"/>
      <c r="T13" s="2"/>
    </row>
    <row r="14" spans="2:20" ht="15" customHeight="1" x14ac:dyDescent="0.2">
      <c r="B14" s="25" t="s">
        <v>30</v>
      </c>
      <c r="C14" s="23"/>
      <c r="D14" s="23"/>
      <c r="E14" s="23"/>
      <c r="F14" s="23"/>
      <c r="G14" s="23"/>
      <c r="H14" s="23"/>
      <c r="I14" s="23"/>
      <c r="J14" s="23"/>
      <c r="K14" s="23"/>
      <c r="L14" s="24"/>
      <c r="M14" s="1"/>
      <c r="N14" s="2"/>
      <c r="O14" s="2"/>
      <c r="P14" s="2"/>
      <c r="R14" s="2"/>
      <c r="S14" s="2"/>
      <c r="T14" s="2"/>
    </row>
    <row r="15" spans="2:20" ht="15" customHeight="1" x14ac:dyDescent="0.2">
      <c r="B15" s="19" t="s">
        <v>31</v>
      </c>
      <c r="C15" s="22">
        <v>14315</v>
      </c>
      <c r="D15" s="22">
        <v>15199</v>
      </c>
      <c r="E15" s="22">
        <v>16490</v>
      </c>
      <c r="F15" s="22">
        <v>17576</v>
      </c>
      <c r="G15" s="22">
        <v>18852</v>
      </c>
      <c r="H15" s="23">
        <f>(Assumptions!L15*'Income Statement'!G15)+'Income Statement'!G15</f>
        <v>19417.560000000001</v>
      </c>
      <c r="I15" s="23">
        <f>(Assumptions!M15*'Income Statement'!H15)+'Income Statement'!H15</f>
        <v>20077.75704</v>
      </c>
      <c r="J15" s="23">
        <f>(Assumptions!N15*'Income Statement'!I15)+'Income Statement'!I15</f>
        <v>20760.400779359999</v>
      </c>
      <c r="K15" s="23">
        <f>(Assumptions!O15*'Income Statement'!J15)+'Income Statement'!J15</f>
        <v>21798.420818327999</v>
      </c>
      <c r="L15" s="24">
        <f>(Assumptions!P15*'Income Statement'!K15)+'Income Statement'!K15</f>
        <v>22888.3418592444</v>
      </c>
      <c r="M15" s="1"/>
      <c r="N15" s="2"/>
      <c r="O15" s="2"/>
      <c r="P15" s="2"/>
      <c r="R15" s="2"/>
      <c r="S15" s="2"/>
      <c r="T15" s="2"/>
    </row>
    <row r="16" spans="2:20" ht="15" customHeight="1" x14ac:dyDescent="0.2">
      <c r="B16" s="19" t="s">
        <v>32</v>
      </c>
      <c r="C16" s="22">
        <v>4868</v>
      </c>
      <c r="D16" s="22">
        <v>5461</v>
      </c>
      <c r="E16" s="22">
        <v>6143</v>
      </c>
      <c r="F16" s="22">
        <v>6744</v>
      </c>
      <c r="G16" s="22">
        <v>7599</v>
      </c>
      <c r="H16" s="23">
        <f>(Assumptions!L16*'Income Statement'!G16)+'Income Statement'!G16</f>
        <v>8548.875</v>
      </c>
      <c r="I16" s="23">
        <f>(Assumptions!M16*'Income Statement'!H16)+'Income Statement'!H16</f>
        <v>9531.9956249999996</v>
      </c>
      <c r="J16" s="23">
        <f>(Assumptions!N16*'Income Statement'!I16)+'Income Statement'!I16</f>
        <v>10580.515143749999</v>
      </c>
      <c r="K16" s="23">
        <f>(Assumptions!O16*'Income Statement'!J16)+'Income Statement'!J16</f>
        <v>11691.469233843749</v>
      </c>
      <c r="L16" s="24">
        <f>(Assumptions!P16*'Income Statement'!K16)+'Income Statement'!K16</f>
        <v>12919.073503397343</v>
      </c>
      <c r="M16" s="1"/>
      <c r="N16" s="2"/>
      <c r="O16" s="2"/>
      <c r="P16" s="2"/>
      <c r="R16" s="2"/>
      <c r="S16" s="2"/>
      <c r="T16" s="2"/>
    </row>
    <row r="17" spans="2:20" ht="15" customHeight="1" x14ac:dyDescent="0.2">
      <c r="B17" s="19" t="s">
        <v>33</v>
      </c>
      <c r="C17" s="22">
        <v>1290</v>
      </c>
      <c r="D17" s="22">
        <v>1418</v>
      </c>
      <c r="E17" s="22">
        <v>5088</v>
      </c>
      <c r="F17" s="22">
        <v>3951</v>
      </c>
      <c r="G17" s="22">
        <v>3371</v>
      </c>
      <c r="H17" s="23">
        <f>(Assumptions!L17*'Income Statement'!G17)+'Income Statement'!G17</f>
        <v>2865.35</v>
      </c>
      <c r="I17" s="23">
        <f>(Assumptions!M17*'Income Statement'!H17)+'Income Statement'!H17</f>
        <v>2578.8150000000001</v>
      </c>
      <c r="J17" s="23">
        <f>(Assumptions!N17*'Income Statement'!I17)+'Income Statement'!I17</f>
        <v>2372.5097999999998</v>
      </c>
      <c r="K17" s="23">
        <f>(Assumptions!O17*'Income Statement'!J17)+'Income Statement'!J17</f>
        <v>2253.8843099999999</v>
      </c>
      <c r="L17" s="24">
        <f>(Assumptions!P17*'Income Statement'!K17)+'Income Statement'!K17</f>
        <v>2141.1900944999998</v>
      </c>
      <c r="M17" s="1"/>
      <c r="N17" s="2"/>
      <c r="O17" s="2"/>
      <c r="P17" s="2"/>
      <c r="R17" s="2"/>
      <c r="S17" s="2"/>
      <c r="T17" s="2"/>
    </row>
    <row r="18" spans="2:20" ht="15" customHeight="1" x14ac:dyDescent="0.2">
      <c r="B18" s="25" t="s">
        <v>34</v>
      </c>
      <c r="C18" s="22"/>
      <c r="D18" s="22"/>
      <c r="E18" s="20"/>
      <c r="F18" s="22"/>
      <c r="G18" s="22"/>
      <c r="H18" s="23"/>
      <c r="I18" s="23"/>
      <c r="J18" s="23"/>
      <c r="K18" s="23"/>
      <c r="L18" s="24"/>
      <c r="M18" s="1"/>
      <c r="N18" s="2"/>
      <c r="O18" s="2"/>
      <c r="P18" s="2"/>
      <c r="R18" s="2"/>
      <c r="S18" s="2"/>
      <c r="T18" s="2"/>
    </row>
    <row r="19" spans="2:20" ht="15" customHeight="1" x14ac:dyDescent="0.2">
      <c r="B19" s="19" t="s">
        <v>35</v>
      </c>
      <c r="C19" s="22">
        <v>8362</v>
      </c>
      <c r="D19" s="22">
        <v>7896</v>
      </c>
      <c r="E19" s="22">
        <v>8771</v>
      </c>
      <c r="F19" s="22">
        <v>8679</v>
      </c>
      <c r="G19" s="22">
        <v>2363</v>
      </c>
      <c r="H19" s="23">
        <f>(Assumptions!L19*'Income Statement'!G19)+'Income Statement'!G19</f>
        <v>2363</v>
      </c>
      <c r="I19" s="23">
        <f>(Assumptions!M19*'Income Statement'!H19)+'Income Statement'!H19</f>
        <v>2363</v>
      </c>
      <c r="J19" s="23">
        <f>(Assumptions!N19*'Income Statement'!I19)+'Income Statement'!I19</f>
        <v>2363</v>
      </c>
      <c r="K19" s="23">
        <f>(Assumptions!O19*'Income Statement'!J19)+'Income Statement'!J19</f>
        <v>2363</v>
      </c>
      <c r="L19" s="24">
        <f>(Assumptions!P19*'Income Statement'!K19)+'Income Statement'!K19</f>
        <v>2363</v>
      </c>
      <c r="M19" s="1"/>
      <c r="N19" s="2"/>
      <c r="O19" s="2"/>
      <c r="P19" s="2"/>
      <c r="R19" s="2"/>
      <c r="S19" s="2"/>
      <c r="T19" s="2"/>
    </row>
    <row r="20" spans="2:20" ht="15" customHeight="1" x14ac:dyDescent="0.2">
      <c r="B20" s="19" t="s">
        <v>36</v>
      </c>
      <c r="C20" s="22">
        <v>1499</v>
      </c>
      <c r="D20" s="22">
        <v>1224</v>
      </c>
      <c r="E20" s="22">
        <v>0</v>
      </c>
      <c r="F20" s="22">
        <v>0</v>
      </c>
      <c r="G20" s="22">
        <v>0</v>
      </c>
      <c r="H20" s="23">
        <f>(Assumptions!L20*'Income Statement'!G20)+'Income Statement'!G20</f>
        <v>0</v>
      </c>
      <c r="I20" s="23">
        <f>(Assumptions!M20*'Income Statement'!H20)+'Income Statement'!H20</f>
        <v>0</v>
      </c>
      <c r="J20" s="23">
        <f>(Assumptions!N20*'Income Statement'!I20)+'Income Statement'!I20</f>
        <v>0</v>
      </c>
      <c r="K20" s="23">
        <f>(Assumptions!O20*'Income Statement'!J20)+'Income Statement'!J20</f>
        <v>0</v>
      </c>
      <c r="L20" s="24">
        <f>(Assumptions!P20*'Income Statement'!K20)+'Income Statement'!K20</f>
        <v>0</v>
      </c>
      <c r="M20" s="1"/>
      <c r="N20" s="2"/>
      <c r="O20" s="2"/>
      <c r="P20" s="2"/>
      <c r="R20" s="2"/>
      <c r="S20" s="2"/>
      <c r="T20" s="2"/>
    </row>
    <row r="21" spans="2:20" ht="15" customHeight="1" x14ac:dyDescent="0.2">
      <c r="B21" s="19" t="s">
        <v>33</v>
      </c>
      <c r="C21" s="22">
        <v>4815</v>
      </c>
      <c r="D21" s="22">
        <v>3990</v>
      </c>
      <c r="E21" s="22">
        <v>4095</v>
      </c>
      <c r="F21" s="22">
        <v>4938</v>
      </c>
      <c r="G21" s="22">
        <v>3366</v>
      </c>
      <c r="H21" s="23">
        <f>(Assumptions!L21*'Income Statement'!G21)+'Income Statement'!G21</f>
        <v>3433.32</v>
      </c>
      <c r="I21" s="23">
        <f>(Assumptions!M21*'Income Statement'!H21)+'Income Statement'!H21</f>
        <v>3501.9864000000002</v>
      </c>
      <c r="J21" s="23">
        <f>(Assumptions!N21*'Income Statement'!I21)+'Income Statement'!I21</f>
        <v>3572.0261280000004</v>
      </c>
      <c r="K21" s="23">
        <f>(Assumptions!O21*'Income Statement'!J21)+'Income Statement'!J21</f>
        <v>3643.4666505600003</v>
      </c>
      <c r="L21" s="24">
        <f>(Assumptions!P21*'Income Statement'!K21)+'Income Statement'!K21</f>
        <v>3716.3359835712004</v>
      </c>
      <c r="M21" s="1"/>
      <c r="N21" s="2"/>
      <c r="O21" s="2"/>
      <c r="P21" s="2"/>
      <c r="R21" s="2"/>
      <c r="S21" s="2"/>
      <c r="T21" s="2"/>
    </row>
    <row r="22" spans="2:20" ht="15" customHeight="1" x14ac:dyDescent="0.2">
      <c r="B22" s="19" t="s">
        <v>37</v>
      </c>
      <c r="C22" s="22">
        <v>2588</v>
      </c>
      <c r="D22" s="22">
        <v>2906</v>
      </c>
      <c r="E22" s="22">
        <v>3295</v>
      </c>
      <c r="F22" s="22">
        <v>3624</v>
      </c>
      <c r="G22" s="22">
        <v>4126</v>
      </c>
      <c r="H22" s="23">
        <f>(Assumptions!L22*'Income Statement'!G22)+'Income Statement'!G22</f>
        <v>4167.26</v>
      </c>
      <c r="I22" s="23">
        <f>(Assumptions!M22*'Income Statement'!H22)+'Income Statement'!H22</f>
        <v>4208.9326000000001</v>
      </c>
      <c r="J22" s="23">
        <f>(Assumptions!N22*'Income Statement'!I22)+'Income Statement'!I22</f>
        <v>4293.1112519999997</v>
      </c>
      <c r="K22" s="23">
        <f>(Assumptions!O22*'Income Statement'!J22)+'Income Statement'!J22</f>
        <v>4378.97347704</v>
      </c>
      <c r="L22" s="24">
        <f>(Assumptions!P22*'Income Statement'!K22)+'Income Statement'!K22</f>
        <v>4422.7632118104002</v>
      </c>
      <c r="M22" s="1"/>
      <c r="N22" s="2"/>
      <c r="O22" s="2"/>
      <c r="P22" s="2"/>
      <c r="R22" s="2"/>
      <c r="S22" s="2"/>
      <c r="T22" s="2"/>
    </row>
    <row r="23" spans="2:20" ht="15" customHeight="1" x14ac:dyDescent="0.2">
      <c r="B23" s="78" t="s">
        <v>98</v>
      </c>
      <c r="C23" s="79">
        <f>SUM(C15:C22)</f>
        <v>37737</v>
      </c>
      <c r="D23" s="79">
        <f t="shared" ref="D23:L23" si="2">SUM(D15:D22)</f>
        <v>38094</v>
      </c>
      <c r="E23" s="79">
        <f t="shared" si="2"/>
        <v>43882</v>
      </c>
      <c r="F23" s="79">
        <f t="shared" si="2"/>
        <v>45512</v>
      </c>
      <c r="G23" s="79">
        <f t="shared" si="2"/>
        <v>39677</v>
      </c>
      <c r="H23" s="79">
        <f t="shared" si="2"/>
        <v>40795.365000000005</v>
      </c>
      <c r="I23" s="79">
        <f t="shared" si="2"/>
        <v>42262.486664999997</v>
      </c>
      <c r="J23" s="79">
        <f t="shared" si="2"/>
        <v>43941.563103109998</v>
      </c>
      <c r="K23" s="79">
        <f t="shared" si="2"/>
        <v>46129.214489771752</v>
      </c>
      <c r="L23" s="105">
        <f t="shared" si="2"/>
        <v>48450.704652523345</v>
      </c>
      <c r="M23" s="1"/>
      <c r="N23" s="2"/>
      <c r="O23" s="2"/>
      <c r="P23" s="2"/>
      <c r="R23" s="2"/>
      <c r="S23" s="2"/>
      <c r="T23" s="2"/>
    </row>
    <row r="24" spans="2:20" ht="15" customHeight="1" x14ac:dyDescent="0.2">
      <c r="B24" s="19" t="s">
        <v>38</v>
      </c>
      <c r="C24" s="22">
        <v>3205</v>
      </c>
      <c r="D24" s="22">
        <v>1596</v>
      </c>
      <c r="E24" s="22">
        <v>0</v>
      </c>
      <c r="F24" s="22">
        <v>0</v>
      </c>
      <c r="G24" s="22">
        <v>0</v>
      </c>
      <c r="H24" s="23">
        <f>(Assumptions!L24*'Income Statement'!G24)+'Income Statement'!G24</f>
        <v>0</v>
      </c>
      <c r="I24" s="23">
        <f>(Assumptions!M24*'Income Statement'!H24)+'Income Statement'!H24</f>
        <v>0</v>
      </c>
      <c r="J24" s="23">
        <f>(Assumptions!N24*'Income Statement'!I24)+'Income Statement'!I24</f>
        <v>0</v>
      </c>
      <c r="K24" s="23">
        <f>(Assumptions!O24*'Income Statement'!J24)+'Income Statement'!J24</f>
        <v>0</v>
      </c>
      <c r="L24" s="24">
        <f>(Assumptions!P24*'Income Statement'!K24)+'Income Statement'!K24</f>
        <v>0</v>
      </c>
      <c r="M24" s="1"/>
      <c r="N24" s="2"/>
      <c r="O24" s="2"/>
      <c r="P24" s="2"/>
      <c r="R24" s="2"/>
      <c r="S24" s="2"/>
      <c r="T24" s="2"/>
    </row>
    <row r="25" spans="2:20" ht="15" customHeight="1" x14ac:dyDescent="0.2">
      <c r="B25" s="19" t="s">
        <v>39</v>
      </c>
      <c r="C25" s="22">
        <v>0</v>
      </c>
      <c r="D25" s="22">
        <v>0</v>
      </c>
      <c r="E25" s="22">
        <v>0</v>
      </c>
      <c r="F25" s="22">
        <v>0</v>
      </c>
      <c r="G25" s="22">
        <v>0</v>
      </c>
      <c r="H25" s="23">
        <f>(Assumptions!L25*'Income Statement'!G25)+'Income Statement'!G25</f>
        <v>0</v>
      </c>
      <c r="I25" s="23">
        <f>(Assumptions!M25*'Income Statement'!H25)+'Income Statement'!H25</f>
        <v>0</v>
      </c>
      <c r="J25" s="23">
        <f>(Assumptions!N25*'Income Statement'!I25)+'Income Statement'!I25</f>
        <v>0</v>
      </c>
      <c r="K25" s="23">
        <f>(Assumptions!O25*'Income Statement'!J25)+'Income Statement'!J25</f>
        <v>0</v>
      </c>
      <c r="L25" s="24">
        <f>(Assumptions!P25*'Income Statement'!K25)+'Income Statement'!K25</f>
        <v>0</v>
      </c>
      <c r="M25" s="1"/>
      <c r="N25" s="2"/>
      <c r="O25" s="2"/>
      <c r="P25" s="2"/>
      <c r="R25" s="2"/>
      <c r="S25" s="2"/>
      <c r="T25" s="2"/>
    </row>
    <row r="26" spans="2:20" ht="15" customHeight="1" x14ac:dyDescent="0.2">
      <c r="B26" s="19" t="s">
        <v>33</v>
      </c>
      <c r="C26" s="22">
        <v>221</v>
      </c>
      <c r="D26" s="22">
        <v>224</v>
      </c>
      <c r="E26" s="22">
        <v>281</v>
      </c>
      <c r="F26" s="22">
        <v>380</v>
      </c>
      <c r="G26" s="22">
        <v>288</v>
      </c>
      <c r="H26" s="23">
        <f>(Assumptions!L26*'Income Statement'!G26)+'Income Statement'!G26</f>
        <v>319.12115172736435</v>
      </c>
      <c r="I26" s="23">
        <f>(Assumptions!M26*'Income Statement'!H26)+'Income Statement'!H26</f>
        <v>353.60524124930379</v>
      </c>
      <c r="J26" s="23">
        <f>(Assumptions!N26*'Income Statement'!I26)+'Income Statement'!I26</f>
        <v>391.81566612607759</v>
      </c>
      <c r="K26" s="23">
        <f>(Assumptions!O26*'Income Statement'!J26)+'Income Statement'!J26</f>
        <v>434.15509249645254</v>
      </c>
      <c r="L26" s="24">
        <f>(Assumptions!P26*'Income Statement'!K26)+'Income Statement'!K26</f>
        <v>481.06969842280671</v>
      </c>
      <c r="M26" s="1"/>
      <c r="N26" s="2"/>
      <c r="O26" s="2"/>
      <c r="P26" s="2"/>
      <c r="R26" s="2"/>
      <c r="S26" s="2"/>
      <c r="T26" s="2"/>
    </row>
    <row r="27" spans="2:20" ht="15" customHeight="1" x14ac:dyDescent="0.2">
      <c r="B27" s="19" t="s">
        <v>27</v>
      </c>
      <c r="C27" s="22">
        <v>-9</v>
      </c>
      <c r="D27" s="22">
        <v>1</v>
      </c>
      <c r="E27" s="22">
        <v>74</v>
      </c>
      <c r="F27" s="22">
        <v>104</v>
      </c>
      <c r="G27" s="22">
        <v>296</v>
      </c>
      <c r="H27" s="23">
        <f>(Assumptions!L27*'Income Statement'!G27)+'Income Statement'!G27</f>
        <v>296</v>
      </c>
      <c r="I27" s="23">
        <f>(Assumptions!M27*'Income Statement'!H27)+'Income Statement'!H27</f>
        <v>296</v>
      </c>
      <c r="J27" s="23">
        <f>(Assumptions!N27*'Income Statement'!I27)+'Income Statement'!I27</f>
        <v>296</v>
      </c>
      <c r="K27" s="23">
        <f>(Assumptions!O27*'Income Statement'!J27)+'Income Statement'!J27</f>
        <v>296</v>
      </c>
      <c r="L27" s="24">
        <f>(Assumptions!P27*'Income Statement'!K27)+'Income Statement'!K27</f>
        <v>296</v>
      </c>
      <c r="M27" s="1"/>
      <c r="N27" s="2"/>
      <c r="O27" s="2"/>
      <c r="P27" s="2"/>
      <c r="R27" s="2"/>
      <c r="S27" s="2"/>
      <c r="T27" s="2"/>
    </row>
    <row r="28" spans="2:20" ht="15" customHeight="1" x14ac:dyDescent="0.2">
      <c r="B28" s="78" t="s">
        <v>99</v>
      </c>
      <c r="C28" s="79">
        <f>SUM(C23:C27)</f>
        <v>41154</v>
      </c>
      <c r="D28" s="79">
        <f t="shared" ref="D28:L28" si="3">SUM(D23:D27)</f>
        <v>39915</v>
      </c>
      <c r="E28" s="79">
        <f t="shared" si="3"/>
        <v>44237</v>
      </c>
      <c r="F28" s="79">
        <f t="shared" si="3"/>
        <v>45996</v>
      </c>
      <c r="G28" s="79">
        <f t="shared" si="3"/>
        <v>40261</v>
      </c>
      <c r="H28" s="79">
        <f t="shared" si="3"/>
        <v>41410.486151727368</v>
      </c>
      <c r="I28" s="79">
        <f t="shared" si="3"/>
        <v>42912.091906249298</v>
      </c>
      <c r="J28" s="79">
        <f t="shared" si="3"/>
        <v>44629.378769236078</v>
      </c>
      <c r="K28" s="79">
        <f t="shared" si="3"/>
        <v>46859.369582268206</v>
      </c>
      <c r="L28" s="105">
        <f t="shared" si="3"/>
        <v>49227.774350946151</v>
      </c>
      <c r="M28" s="1"/>
      <c r="N28" s="2"/>
      <c r="O28" s="2"/>
      <c r="P28" s="2"/>
      <c r="R28" s="2"/>
      <c r="S28" s="2"/>
      <c r="T28" s="2"/>
    </row>
    <row r="29" spans="2:20" ht="15" customHeight="1" x14ac:dyDescent="0.2">
      <c r="B29" s="19" t="s">
        <v>41</v>
      </c>
      <c r="C29" s="23"/>
      <c r="D29" s="23"/>
      <c r="E29" s="23"/>
      <c r="F29" s="23"/>
      <c r="G29" s="23"/>
      <c r="H29" s="23"/>
      <c r="I29" s="23"/>
      <c r="J29" s="23"/>
      <c r="K29" s="23"/>
      <c r="L29" s="24"/>
      <c r="M29" s="1"/>
      <c r="N29" s="2"/>
      <c r="O29" s="2"/>
      <c r="P29" s="2"/>
      <c r="R29" s="2"/>
      <c r="S29" s="2"/>
      <c r="T29" s="2"/>
    </row>
    <row r="30" spans="2:20" ht="15" customHeight="1" x14ac:dyDescent="0.2">
      <c r="B30" s="19" t="s">
        <v>42</v>
      </c>
      <c r="C30" s="22">
        <v>6070</v>
      </c>
      <c r="D30" s="22">
        <v>7234</v>
      </c>
      <c r="E30" s="22">
        <v>10965</v>
      </c>
      <c r="F30" s="22">
        <v>12591</v>
      </c>
      <c r="G30" s="22">
        <v>15417</v>
      </c>
      <c r="H30" s="23">
        <f>(Assumptions!L30*'Income Statement'!G30)+'Income Statement'!G30</f>
        <v>18500.400000000001</v>
      </c>
      <c r="I30" s="23">
        <f>(Assumptions!M30*'Income Statement'!H30)+'Income Statement'!H30</f>
        <v>22292.982</v>
      </c>
      <c r="J30" s="23">
        <f>(Assumptions!N30*'Income Statement'!I30)+'Income Statement'!I30</f>
        <v>26974.50822</v>
      </c>
      <c r="K30" s="23">
        <f>(Assumptions!O30*'Income Statement'!J30)+'Income Statement'!J30</f>
        <v>32774.027487300002</v>
      </c>
      <c r="L30" s="24">
        <f>(Assumptions!P30*'Income Statement'!K30)+'Income Statement'!K30</f>
        <v>39984.313534506</v>
      </c>
      <c r="M30" s="1"/>
      <c r="N30" s="2"/>
      <c r="O30" s="2"/>
      <c r="P30" s="2"/>
      <c r="R30" s="2"/>
      <c r="S30" s="2"/>
      <c r="T30" s="2"/>
    </row>
    <row r="31" spans="2:20" ht="15" customHeight="1" x14ac:dyDescent="0.2">
      <c r="B31" s="19" t="s">
        <v>29</v>
      </c>
      <c r="C31" s="22">
        <v>5743</v>
      </c>
      <c r="D31" s="22">
        <v>6053</v>
      </c>
      <c r="E31" s="22">
        <v>6669</v>
      </c>
      <c r="F31" s="22">
        <v>6988</v>
      </c>
      <c r="G31" s="22">
        <v>7154</v>
      </c>
      <c r="H31" s="23">
        <f>(Assumptions!L31*'Income Statement'!G31)+'Income Statement'!G31</f>
        <v>7382.9279999999999</v>
      </c>
      <c r="I31" s="23">
        <f>(Assumptions!M31*'Income Statement'!H31)+'Income Statement'!H31</f>
        <v>7633.9475519999996</v>
      </c>
      <c r="J31" s="23">
        <f>(Assumptions!N31*'Income Statement'!I31)+'Income Statement'!I31</f>
        <v>7946.9394016319993</v>
      </c>
      <c r="K31" s="23">
        <f>(Assumptions!O31*'Income Statement'!J31)+'Income Statement'!J31</f>
        <v>8384.0210687217586</v>
      </c>
      <c r="L31" s="24">
        <f>(Assumptions!P31*'Income Statement'!K31)+'Income Statement'!K31</f>
        <v>8845.1422275014556</v>
      </c>
      <c r="M31" s="1"/>
      <c r="N31" s="2"/>
      <c r="O31" s="2"/>
      <c r="P31" s="2"/>
      <c r="R31" s="2"/>
      <c r="S31" s="2"/>
      <c r="T31" s="2"/>
    </row>
    <row r="32" spans="2:20" ht="15" customHeight="1" x14ac:dyDescent="0.2">
      <c r="B32" s="19" t="s">
        <v>26</v>
      </c>
      <c r="C32" s="22">
        <v>19</v>
      </c>
      <c r="D32" s="22">
        <v>9</v>
      </c>
      <c r="E32" s="22">
        <v>10</v>
      </c>
      <c r="F32" s="22">
        <v>79</v>
      </c>
      <c r="G32" s="22">
        <v>34</v>
      </c>
      <c r="H32" s="23">
        <f>(Assumptions!L32*'Income Statement'!G32)+'Income Statement'!G32</f>
        <v>34</v>
      </c>
      <c r="I32" s="23">
        <f>(Assumptions!M32*'Income Statement'!H32)+'Income Statement'!H32</f>
        <v>34</v>
      </c>
      <c r="J32" s="23">
        <f>(Assumptions!N32*'Income Statement'!I32)+'Income Statement'!I32</f>
        <v>34</v>
      </c>
      <c r="K32" s="23">
        <f>(Assumptions!O32*'Income Statement'!J32)+'Income Statement'!J32</f>
        <v>34</v>
      </c>
      <c r="L32" s="24">
        <f>(Assumptions!P32*'Income Statement'!K32)+'Income Statement'!K32</f>
        <v>34</v>
      </c>
      <c r="M32" s="1"/>
      <c r="N32" s="2"/>
      <c r="O32" s="2"/>
      <c r="P32" s="2"/>
      <c r="R32" s="2"/>
      <c r="S32" s="2"/>
      <c r="T32" s="2"/>
    </row>
    <row r="33" spans="1:20" ht="15" customHeight="1" x14ac:dyDescent="0.2">
      <c r="B33" s="19" t="s">
        <v>25</v>
      </c>
      <c r="C33" s="22">
        <v>197</v>
      </c>
      <c r="D33" s="22">
        <v>167</v>
      </c>
      <c r="E33" s="22">
        <v>0</v>
      </c>
      <c r="F33" s="22">
        <v>0</v>
      </c>
      <c r="G33" s="22">
        <v>0</v>
      </c>
      <c r="H33" s="23">
        <f>(Assumptions!L33*'Income Statement'!G33)+'Income Statement'!G33</f>
        <v>0</v>
      </c>
      <c r="I33" s="23">
        <f>(Assumptions!M33*'Income Statement'!H33)+'Income Statement'!H33</f>
        <v>0</v>
      </c>
      <c r="J33" s="23">
        <f>(Assumptions!N33*'Income Statement'!I33)+'Income Statement'!I33</f>
        <v>0</v>
      </c>
      <c r="K33" s="23">
        <f>(Assumptions!O33*'Income Statement'!J33)+'Income Statement'!J33</f>
        <v>0</v>
      </c>
      <c r="L33" s="24">
        <f>(Assumptions!P33*'Income Statement'!K33)+'Income Statement'!K33</f>
        <v>0</v>
      </c>
      <c r="M33" s="1"/>
      <c r="N33" s="2"/>
      <c r="O33" s="2"/>
      <c r="P33" s="2"/>
      <c r="R33" s="2"/>
      <c r="S33" s="2"/>
      <c r="T33" s="2"/>
    </row>
    <row r="34" spans="1:20" ht="15" customHeight="1" x14ac:dyDescent="0.2">
      <c r="B34" s="19" t="s">
        <v>27</v>
      </c>
      <c r="C34" s="22">
        <v>-2067</v>
      </c>
      <c r="D34" s="22">
        <v>-2583</v>
      </c>
      <c r="E34" s="22">
        <v>-5025</v>
      </c>
      <c r="F34" s="22">
        <v>-4868</v>
      </c>
      <c r="G34" s="22">
        <v>-5684</v>
      </c>
      <c r="H34" s="23">
        <f>(Assumptions!L34*'Income Statement'!G34)+'Income Statement'!G34</f>
        <v>-5684</v>
      </c>
      <c r="I34" s="23">
        <f>(Assumptions!M34*'Income Statement'!H34)+'Income Statement'!H34</f>
        <v>-5684</v>
      </c>
      <c r="J34" s="23">
        <f>(Assumptions!N34*'Income Statement'!I34)+'Income Statement'!I34</f>
        <v>-5684</v>
      </c>
      <c r="K34" s="23">
        <f>(Assumptions!O34*'Income Statement'!J34)+'Income Statement'!J34</f>
        <v>-5684</v>
      </c>
      <c r="L34" s="24">
        <f>(Assumptions!P34*'Income Statement'!K34)+'Income Statement'!K34</f>
        <v>-5684</v>
      </c>
      <c r="M34" s="1"/>
      <c r="N34" s="2"/>
      <c r="O34" s="2"/>
      <c r="P34" s="2"/>
      <c r="R34" s="2"/>
      <c r="S34" s="2"/>
      <c r="T34" s="2"/>
    </row>
    <row r="35" spans="1:20" ht="15" customHeight="1" x14ac:dyDescent="0.2">
      <c r="B35" s="78" t="s">
        <v>100</v>
      </c>
      <c r="C35" s="79">
        <f>SUM(C30:C34)</f>
        <v>9962</v>
      </c>
      <c r="D35" s="79">
        <f t="shared" ref="D35:L35" si="4">SUM(D30:D34)</f>
        <v>10880</v>
      </c>
      <c r="E35" s="79">
        <f t="shared" si="4"/>
        <v>12619</v>
      </c>
      <c r="F35" s="79">
        <f t="shared" si="4"/>
        <v>14790</v>
      </c>
      <c r="G35" s="79">
        <f t="shared" si="4"/>
        <v>16921</v>
      </c>
      <c r="H35" s="79">
        <f t="shared" si="4"/>
        <v>20233.328000000001</v>
      </c>
      <c r="I35" s="79">
        <f t="shared" si="4"/>
        <v>24276.929552000001</v>
      </c>
      <c r="J35" s="79">
        <f t="shared" si="4"/>
        <v>29271.447621631996</v>
      </c>
      <c r="K35" s="79">
        <f t="shared" si="4"/>
        <v>35508.048556021764</v>
      </c>
      <c r="L35" s="105">
        <f t="shared" si="4"/>
        <v>43179.455762007456</v>
      </c>
      <c r="M35" s="1"/>
      <c r="N35" s="2"/>
      <c r="O35" s="2"/>
      <c r="P35" s="2"/>
      <c r="R35" s="2"/>
      <c r="S35" s="2"/>
      <c r="T35" s="2"/>
    </row>
    <row r="36" spans="1:20" ht="15" customHeight="1" x14ac:dyDescent="0.2">
      <c r="B36" s="19" t="s">
        <v>101</v>
      </c>
      <c r="C36" s="23">
        <f>C35+C28+C11</f>
        <v>172529</v>
      </c>
      <c r="D36" s="23">
        <f t="shared" ref="D36:L36" si="5">D35+D28+D11</f>
        <v>179361</v>
      </c>
      <c r="E36" s="23">
        <f t="shared" si="5"/>
        <v>194099</v>
      </c>
      <c r="F36" s="23">
        <f t="shared" si="5"/>
        <v>246148</v>
      </c>
      <c r="G36" s="23">
        <f t="shared" si="5"/>
        <v>273854</v>
      </c>
      <c r="H36" s="23">
        <f t="shared" si="5"/>
        <v>307525.74565172737</v>
      </c>
      <c r="I36" s="23">
        <f t="shared" si="5"/>
        <v>341425.12502724928</v>
      </c>
      <c r="J36" s="23">
        <f t="shared" si="5"/>
        <v>372475.44776365801</v>
      </c>
      <c r="K36" s="23">
        <f t="shared" si="5"/>
        <v>402970.69048717292</v>
      </c>
      <c r="L36" s="24">
        <f t="shared" si="5"/>
        <v>436649.69100672647</v>
      </c>
      <c r="M36" s="1"/>
      <c r="N36" s="2"/>
      <c r="O36" s="2"/>
      <c r="P36" s="2"/>
      <c r="R36" s="2"/>
      <c r="S36" s="2"/>
      <c r="T36" s="2"/>
    </row>
    <row r="37" spans="1:20" ht="15" customHeight="1" x14ac:dyDescent="0.2">
      <c r="B37" s="19" t="s">
        <v>43</v>
      </c>
      <c r="C37" s="213">
        <v>1549</v>
      </c>
      <c r="D37" s="213">
        <v>1155</v>
      </c>
      <c r="E37" s="213">
        <v>1166</v>
      </c>
      <c r="F37" s="213">
        <v>973</v>
      </c>
      <c r="G37" s="213">
        <v>1046</v>
      </c>
      <c r="H37" s="23">
        <f>(Assumptions!L35*'Income Statement'!G37)+'Income Statement'!G37</f>
        <v>1103.53</v>
      </c>
      <c r="I37" s="23">
        <f>(Assumptions!M35*'Income Statement'!H37)+'Income Statement'!H37</f>
        <v>1149.87826</v>
      </c>
      <c r="J37" s="23">
        <f>(Assumptions!N35*'Income Statement'!I37)+'Income Statement'!I37</f>
        <v>1190.1239991</v>
      </c>
      <c r="K37" s="23">
        <f>(Assumptions!O35*'Income Statement'!J37)+'Income Statement'!J37</f>
        <v>1213.926479082</v>
      </c>
      <c r="L37" s="24">
        <f>(Assumptions!P35*'Income Statement'!K37)+'Income Statement'!K37</f>
        <v>1177.5086847095399</v>
      </c>
      <c r="M37" s="1"/>
      <c r="O37" s="625"/>
      <c r="P37" s="625"/>
      <c r="Q37" s="625"/>
      <c r="R37" s="625"/>
      <c r="S37" s="625"/>
    </row>
    <row r="38" spans="1:20" ht="15" customHeight="1" thickBot="1" x14ac:dyDescent="0.25">
      <c r="A38" t="s">
        <v>21</v>
      </c>
      <c r="B38" s="60" t="s">
        <v>102</v>
      </c>
      <c r="C38" s="61">
        <f>C36+C37</f>
        <v>174078</v>
      </c>
      <c r="D38" s="61">
        <f t="shared" ref="D38:L38" si="6">D36+D37</f>
        <v>180516</v>
      </c>
      <c r="E38" s="61">
        <f t="shared" si="6"/>
        <v>195265</v>
      </c>
      <c r="F38" s="61">
        <f t="shared" si="6"/>
        <v>247121</v>
      </c>
      <c r="G38" s="61">
        <f t="shared" si="6"/>
        <v>274900</v>
      </c>
      <c r="H38" s="61">
        <f t="shared" si="6"/>
        <v>308629.2756517274</v>
      </c>
      <c r="I38" s="61">
        <f t="shared" si="6"/>
        <v>342575.0032872493</v>
      </c>
      <c r="J38" s="61">
        <f t="shared" si="6"/>
        <v>373665.57176275802</v>
      </c>
      <c r="K38" s="61">
        <f t="shared" si="6"/>
        <v>404184.61696625489</v>
      </c>
      <c r="L38" s="106">
        <f t="shared" si="6"/>
        <v>437827.19969143602</v>
      </c>
      <c r="M38" s="1"/>
      <c r="N38" s="626"/>
      <c r="O38" s="627"/>
      <c r="P38" s="627"/>
      <c r="Q38" s="627"/>
      <c r="R38" s="627"/>
      <c r="S38" s="627"/>
    </row>
    <row r="39" spans="1:20" ht="15" customHeight="1" x14ac:dyDescent="0.2">
      <c r="B39" s="19" t="s">
        <v>44</v>
      </c>
      <c r="C39" s="214"/>
      <c r="D39" s="214"/>
      <c r="E39" s="214"/>
      <c r="F39" s="214"/>
      <c r="G39" s="214"/>
      <c r="H39" s="20"/>
      <c r="I39" s="20"/>
      <c r="J39" s="20"/>
      <c r="K39" s="20"/>
      <c r="L39" s="21"/>
      <c r="M39" s="1"/>
      <c r="P39" s="2"/>
    </row>
    <row r="40" spans="1:20" ht="15" customHeight="1" x14ac:dyDescent="0.2">
      <c r="B40" s="19" t="s">
        <v>45</v>
      </c>
      <c r="C40" s="213">
        <v>117553</v>
      </c>
      <c r="D40" s="213">
        <v>124834</v>
      </c>
      <c r="E40" s="213">
        <v>133801</v>
      </c>
      <c r="F40" s="213">
        <v>182509</v>
      </c>
      <c r="G40" s="213">
        <v>214991</v>
      </c>
      <c r="H40" s="23">
        <f>Assumptions!L38*'Income Statement'!H38</f>
        <v>237644.54225183011</v>
      </c>
      <c r="I40" s="23">
        <f>Assumptions!M38*'Income Statement'!I38</f>
        <v>260357.00249830948</v>
      </c>
      <c r="J40" s="23">
        <f>Assumptions!N38*'Income Statement'!J38</f>
        <v>280249.1788220685</v>
      </c>
      <c r="K40" s="23">
        <f>Assumptions!O38*'Income Statement'!K38</f>
        <v>299096.6165550286</v>
      </c>
      <c r="L40" s="24">
        <f>Assumptions!P38*'Income Statement'!L38</f>
        <v>319613.85577474831</v>
      </c>
      <c r="M40" s="1"/>
      <c r="P40" s="4"/>
    </row>
    <row r="41" spans="1:20" ht="15" customHeight="1" x14ac:dyDescent="0.2">
      <c r="B41" s="19" t="s">
        <v>46</v>
      </c>
      <c r="C41" s="213">
        <v>33562</v>
      </c>
      <c r="D41" s="213">
        <v>32206</v>
      </c>
      <c r="E41" s="213">
        <v>36287</v>
      </c>
      <c r="F41" s="213">
        <v>38648</v>
      </c>
      <c r="G41" s="213">
        <v>34349</v>
      </c>
      <c r="H41" s="23">
        <f>Assumptions!L39*'Income Statement'!H38</f>
        <v>43208.09859124184</v>
      </c>
      <c r="I41" s="23">
        <f>Assumptions!M39*'Income Statement'!I38</f>
        <v>47960.500460214906</v>
      </c>
      <c r="J41" s="23">
        <f>Assumptions!N39*'Income Statement'!J38</f>
        <v>48576.524329158543</v>
      </c>
      <c r="K41" s="23">
        <f>Assumptions!O39*'Income Statement'!K38</f>
        <v>48502.154035950589</v>
      </c>
      <c r="L41" s="24">
        <f>Assumptions!P39*'Income Statement'!L38</f>
        <v>56917.535959886685</v>
      </c>
      <c r="M41" s="547"/>
      <c r="P41" s="4"/>
    </row>
    <row r="42" spans="1:20" ht="15" customHeight="1" x14ac:dyDescent="0.2">
      <c r="B42" s="19" t="s">
        <v>47</v>
      </c>
      <c r="C42" s="213">
        <v>13030</v>
      </c>
      <c r="D42" s="213">
        <v>13186</v>
      </c>
      <c r="E42" s="213">
        <v>14822</v>
      </c>
      <c r="F42" s="213">
        <v>14844</v>
      </c>
      <c r="G42" s="213">
        <v>14617</v>
      </c>
      <c r="H42" s="23">
        <f>Assumptions!L40*'Income Statement'!H38</f>
        <v>18517.756539103644</v>
      </c>
      <c r="I42" s="23">
        <f>Assumptions!M40*'Income Statement'!I38</f>
        <v>21582.225207096708</v>
      </c>
      <c r="J42" s="23">
        <f>Assumptions!N40*'Income Statement'!J38</f>
        <v>23167.265449290997</v>
      </c>
      <c r="K42" s="23">
        <f>Assumptions!O40*'Income Statement'!K38</f>
        <v>21825.969316177765</v>
      </c>
      <c r="L42" s="24">
        <f>Assumptions!P40*'Income Statement'!L38</f>
        <v>22329.187184263235</v>
      </c>
      <c r="M42" s="1"/>
      <c r="P42" s="4"/>
    </row>
    <row r="43" spans="1:20" ht="15" customHeight="1" x14ac:dyDescent="0.2">
      <c r="B43" s="19" t="s">
        <v>48</v>
      </c>
      <c r="C43" s="213">
        <v>1998</v>
      </c>
      <c r="D43" s="213">
        <v>1876</v>
      </c>
      <c r="E43" s="213">
        <v>1819</v>
      </c>
      <c r="F43" s="213">
        <v>1703</v>
      </c>
      <c r="G43" s="213">
        <v>1743</v>
      </c>
      <c r="H43" s="23">
        <f>Assumptions!L41*'Income Statement'!H38</f>
        <v>1913.5015090407098</v>
      </c>
      <c r="I43" s="23">
        <f>Assumptions!M41*'Income Statement'!I38</f>
        <v>2055.4500197234956</v>
      </c>
      <c r="J43" s="23">
        <f>Assumptions!N41*'Income Statement'!J38</f>
        <v>2167.2603162239961</v>
      </c>
      <c r="K43" s="23">
        <f>Assumptions!O41*'Income Statement'!K38</f>
        <v>2263.4338550110274</v>
      </c>
      <c r="L43" s="24">
        <f>Assumptions!P41*'Income Statement'!L38</f>
        <v>2451.8323182720419</v>
      </c>
      <c r="M43" s="1"/>
      <c r="P43" s="4"/>
    </row>
    <row r="44" spans="1:20" ht="15" customHeight="1" x14ac:dyDescent="0.2">
      <c r="A44" t="s">
        <v>21</v>
      </c>
      <c r="B44" s="78" t="s">
        <v>103</v>
      </c>
      <c r="C44" s="215">
        <f t="shared" ref="C44:L44" si="7">SUM(C40:C43)</f>
        <v>166143</v>
      </c>
      <c r="D44" s="215">
        <f t="shared" si="7"/>
        <v>172102</v>
      </c>
      <c r="E44" s="215">
        <f t="shared" si="7"/>
        <v>186729</v>
      </c>
      <c r="F44" s="215">
        <f t="shared" si="7"/>
        <v>237704</v>
      </c>
      <c r="G44" s="215">
        <f t="shared" si="7"/>
        <v>265700</v>
      </c>
      <c r="H44" s="215">
        <f t="shared" si="7"/>
        <v>301283.89889121632</v>
      </c>
      <c r="I44" s="215">
        <f t="shared" si="7"/>
        <v>331955.17818534462</v>
      </c>
      <c r="J44" s="215">
        <f t="shared" si="7"/>
        <v>354160.22891674202</v>
      </c>
      <c r="K44" s="215">
        <f t="shared" si="7"/>
        <v>371688.17376216798</v>
      </c>
      <c r="L44" s="216">
        <f t="shared" si="7"/>
        <v>401312.41123717028</v>
      </c>
      <c r="M44" s="1"/>
      <c r="P44" s="4"/>
    </row>
    <row r="45" spans="1:20" ht="15" customHeight="1" thickBot="1" x14ac:dyDescent="0.25">
      <c r="A45" t="s">
        <v>21</v>
      </c>
      <c r="B45" s="60" t="s">
        <v>104</v>
      </c>
      <c r="C45" s="217">
        <f t="shared" ref="C45:L45" si="8">C38-C44</f>
        <v>7935</v>
      </c>
      <c r="D45" s="217">
        <f t="shared" si="8"/>
        <v>8414</v>
      </c>
      <c r="E45" s="217">
        <f t="shared" si="8"/>
        <v>8536</v>
      </c>
      <c r="F45" s="217">
        <f t="shared" si="8"/>
        <v>9417</v>
      </c>
      <c r="G45" s="217">
        <f t="shared" si="8"/>
        <v>9200</v>
      </c>
      <c r="H45" s="217">
        <f t="shared" si="8"/>
        <v>7345.376760511077</v>
      </c>
      <c r="I45" s="217">
        <f t="shared" si="8"/>
        <v>10619.825101904687</v>
      </c>
      <c r="J45" s="217">
        <f t="shared" si="8"/>
        <v>19505.342846015992</v>
      </c>
      <c r="K45" s="217">
        <f t="shared" si="8"/>
        <v>32496.443204086914</v>
      </c>
      <c r="L45" s="218">
        <f t="shared" si="8"/>
        <v>36514.788454265741</v>
      </c>
      <c r="M45" s="1"/>
      <c r="P45" s="4"/>
    </row>
    <row r="46" spans="1:20" ht="15" customHeight="1" x14ac:dyDescent="0.2">
      <c r="B46" s="19" t="s">
        <v>49</v>
      </c>
      <c r="C46" s="213">
        <v>-141</v>
      </c>
      <c r="D46" s="213">
        <v>0</v>
      </c>
      <c r="E46" s="213">
        <v>0</v>
      </c>
      <c r="F46" s="213">
        <v>0</v>
      </c>
      <c r="G46" s="213">
        <v>0</v>
      </c>
      <c r="H46" s="23">
        <f>Assumptions!L42*H38</f>
        <v>0</v>
      </c>
      <c r="I46" s="23">
        <f>Assumptions!M42*I38</f>
        <v>0</v>
      </c>
      <c r="J46" s="23">
        <f>Assumptions!N42*J38</f>
        <v>0</v>
      </c>
      <c r="K46" s="23">
        <f>Assumptions!O42*K38</f>
        <v>-65.476431246041358</v>
      </c>
      <c r="L46" s="119">
        <f>Assumptions!P42*L38</f>
        <v>0</v>
      </c>
      <c r="M46" s="1"/>
      <c r="P46" s="4"/>
    </row>
    <row r="47" spans="1:20" ht="15" customHeight="1" x14ac:dyDescent="0.2">
      <c r="B47" s="19" t="s">
        <v>50</v>
      </c>
      <c r="C47" s="213">
        <v>-1208</v>
      </c>
      <c r="D47" s="213">
        <v>-1228</v>
      </c>
      <c r="E47" s="213">
        <v>-1446</v>
      </c>
      <c r="F47" s="213">
        <v>-1435</v>
      </c>
      <c r="G47" s="213">
        <v>-1408</v>
      </c>
      <c r="H47" s="614">
        <f ca="1">-'Debt Schedule'!F267+'Debt Schedule'!F277</f>
        <v>-1331.8741292444058</v>
      </c>
      <c r="I47" s="614">
        <f ca="1">'Debt Schedule'!G267</f>
        <v>1557.6847659441739</v>
      </c>
      <c r="J47" s="614">
        <f ca="1">'Debt Schedule'!H267</f>
        <v>1328.6378875244739</v>
      </c>
      <c r="K47" s="614">
        <f ca="1">'Debt Schedule'!I267</f>
        <v>917.95243097626144</v>
      </c>
      <c r="L47" s="624">
        <f ca="1">'Debt Schedule'!J267</f>
        <v>666.07292088692816</v>
      </c>
      <c r="M47" s="1"/>
      <c r="P47" s="5"/>
    </row>
    <row r="48" spans="1:20" ht="15" customHeight="1" x14ac:dyDescent="0.2">
      <c r="B48" s="19" t="s">
        <v>51</v>
      </c>
      <c r="C48" s="213">
        <v>0</v>
      </c>
      <c r="D48" s="213">
        <v>1662</v>
      </c>
      <c r="E48" s="213">
        <v>-1499</v>
      </c>
      <c r="F48" s="213">
        <v>24</v>
      </c>
      <c r="G48" s="213">
        <v>13</v>
      </c>
      <c r="H48" s="23">
        <f>Assumptions!L44*'Income Statement'!H38</f>
        <v>-308.62927565172743</v>
      </c>
      <c r="I48" s="23">
        <f>Assumptions!M44*'Income Statement'!I38</f>
        <v>-342.57500328724933</v>
      </c>
      <c r="J48" s="23">
        <f>Assumptions!N44*'Income Statement'!J38</f>
        <v>-373.66557176275802</v>
      </c>
      <c r="K48" s="23">
        <f>Assumptions!O44*'Income Statement'!K38</f>
        <v>-404.18461696625491</v>
      </c>
      <c r="L48" s="24">
        <f>Assumptions!P44*'Income Statement'!L38</f>
        <v>-437.82719969143602</v>
      </c>
      <c r="P48" s="6"/>
    </row>
    <row r="49" spans="1:20" ht="15" customHeight="1" x14ac:dyDescent="0.2">
      <c r="B49" s="19" t="s">
        <v>52</v>
      </c>
      <c r="C49" s="213">
        <v>196</v>
      </c>
      <c r="D49" s="213">
        <v>-495</v>
      </c>
      <c r="E49" s="213">
        <v>-78</v>
      </c>
      <c r="F49" s="213">
        <v>-2737</v>
      </c>
      <c r="G49" s="213">
        <v>-24</v>
      </c>
      <c r="H49" s="23">
        <f>Assumptions!L45*'Income Statement'!H38</f>
        <v>-617.25855130345485</v>
      </c>
      <c r="I49" s="23">
        <f>Assumptions!M45*'Income Statement'!I38</f>
        <v>-1027.7250098617478</v>
      </c>
      <c r="J49" s="23">
        <f>Assumptions!N45*'Income Statement'!J38</f>
        <v>-1494.6622870510321</v>
      </c>
      <c r="K49" s="23">
        <f>Assumptions!O45*'Income Statement'!K38</f>
        <v>-2020.9230848312745</v>
      </c>
      <c r="L49" s="107">
        <f>Assumptions!P45*'Income Statement'!L38</f>
        <v>-2626.9631981486164</v>
      </c>
      <c r="M49" s="1"/>
      <c r="P49" s="4"/>
    </row>
    <row r="50" spans="1:20" ht="15" customHeight="1" x14ac:dyDescent="0.2">
      <c r="A50" t="s">
        <v>21</v>
      </c>
      <c r="B50" s="78" t="s">
        <v>105</v>
      </c>
      <c r="C50" s="215">
        <f>SUM(C45:C49)</f>
        <v>6782</v>
      </c>
      <c r="D50" s="215">
        <f t="shared" ref="D50:F50" si="9">SUM(D45:D49)</f>
        <v>8353</v>
      </c>
      <c r="E50" s="215">
        <f t="shared" si="9"/>
        <v>5513</v>
      </c>
      <c r="F50" s="215">
        <f t="shared" si="9"/>
        <v>5269</v>
      </c>
      <c r="G50" s="215">
        <f>SUM(G45:G49)</f>
        <v>7781</v>
      </c>
      <c r="H50" s="215">
        <f ca="1">SUM(H45:H49)</f>
        <v>5087.614804311489</v>
      </c>
      <c r="I50" s="215">
        <f t="shared" ref="I50" ca="1" si="10">SUM(I45:I49)</f>
        <v>10807.209854699864</v>
      </c>
      <c r="J50" s="215">
        <f t="shared" ref="J50" ca="1" si="11">SUM(J45:J49)</f>
        <v>18965.652874726675</v>
      </c>
      <c r="K50" s="215">
        <f t="shared" ref="K50" ca="1" si="12">SUM(K45:K49)</f>
        <v>30923.811502019606</v>
      </c>
      <c r="L50" s="216">
        <f t="shared" ref="L50" ca="1" si="13">SUM(L45:L49)</f>
        <v>34116.070977312622</v>
      </c>
      <c r="M50" s="1"/>
      <c r="P50" s="7"/>
    </row>
    <row r="51" spans="1:20" ht="15" customHeight="1" x14ac:dyDescent="0.2">
      <c r="B51" s="19" t="s">
        <v>54</v>
      </c>
      <c r="C51" s="213">
        <v>1367</v>
      </c>
      <c r="D51" s="213">
        <v>1607</v>
      </c>
      <c r="E51" s="213">
        <v>141</v>
      </c>
      <c r="F51" s="213">
        <v>1491</v>
      </c>
      <c r="G51" s="213">
        <v>1493</v>
      </c>
      <c r="H51" s="23">
        <f ca="1">Assumptions!L47*'Income Statement'!H50</f>
        <v>864.89451673295321</v>
      </c>
      <c r="I51" s="23">
        <f ca="1">Assumptions!M47*'Income Statement'!I50</f>
        <v>1864.2436999357265</v>
      </c>
      <c r="J51" s="23">
        <f ca="1">Assumptions!N47*'Income Statement'!J50</f>
        <v>3318.9892530771681</v>
      </c>
      <c r="K51" s="23">
        <f ca="1">Assumptions!O47*'Income Statement'!K50</f>
        <v>5488.9765416084801</v>
      </c>
      <c r="L51" s="24">
        <f ca="1">Assumptions!P47*'Income Statement'!L50</f>
        <v>6140.8927759162716</v>
      </c>
      <c r="M51" s="1"/>
      <c r="P51" s="4"/>
    </row>
    <row r="52" spans="1:20" ht="15" customHeight="1" x14ac:dyDescent="0.2">
      <c r="A52" t="s">
        <v>21</v>
      </c>
      <c r="B52" s="78" t="s">
        <v>106</v>
      </c>
      <c r="C52" s="215">
        <f>C50-C51</f>
        <v>5415</v>
      </c>
      <c r="D52" s="215">
        <f t="shared" ref="D52:G52" si="14">D50-D51</f>
        <v>6746</v>
      </c>
      <c r="E52" s="215">
        <f t="shared" si="14"/>
        <v>5372</v>
      </c>
      <c r="F52" s="215">
        <f t="shared" si="14"/>
        <v>3778</v>
      </c>
      <c r="G52" s="215">
        <f t="shared" si="14"/>
        <v>6288</v>
      </c>
      <c r="H52" s="215">
        <f ca="1">H50-H51</f>
        <v>4222.720287578536</v>
      </c>
      <c r="I52" s="215">
        <f t="shared" ref="I52" ca="1" si="15">I50-I51</f>
        <v>8942.9661547641372</v>
      </c>
      <c r="J52" s="215">
        <f t="shared" ref="J52" ca="1" si="16">J50-J51</f>
        <v>15646.663621649506</v>
      </c>
      <c r="K52" s="215">
        <f t="shared" ref="K52" ca="1" si="17">K50-K51</f>
        <v>25434.834960411124</v>
      </c>
      <c r="L52" s="216">
        <f t="shared" ref="L52" ca="1" si="18">L50-L51</f>
        <v>27975.178201396349</v>
      </c>
      <c r="M52" s="1"/>
      <c r="P52" s="4"/>
    </row>
    <row r="53" spans="1:20" ht="15" customHeight="1" x14ac:dyDescent="0.2">
      <c r="B53" s="19" t="s">
        <v>55</v>
      </c>
      <c r="C53" s="213">
        <v>50</v>
      </c>
      <c r="D53" s="213">
        <v>78</v>
      </c>
      <c r="E53" s="213">
        <v>208</v>
      </c>
      <c r="F53" s="213">
        <v>344</v>
      </c>
      <c r="G53" s="213">
        <v>331</v>
      </c>
      <c r="H53" s="23">
        <f ca="1">Assumptions!L49*'Income Statement'!H52</f>
        <v>211.1360143789268</v>
      </c>
      <c r="I53" s="23">
        <f ca="1">Assumptions!M49*'Income Statement'!I52</f>
        <v>447.14830773820688</v>
      </c>
      <c r="J53" s="23">
        <f ca="1">Assumptions!N49*'Income Statement'!J52</f>
        <v>782.33318108247533</v>
      </c>
      <c r="K53" s="23">
        <f ca="1">Assumptions!O49*'Income Statement'!K52</f>
        <v>1271.7417480205563</v>
      </c>
      <c r="L53" s="202">
        <f ca="1">Assumptions!P49*'Income Statement'!L52</f>
        <v>1398.7589100698176</v>
      </c>
      <c r="M53" s="1"/>
      <c r="P53" s="4"/>
    </row>
    <row r="54" spans="1:20" ht="15" customHeight="1" thickBot="1" x14ac:dyDescent="0.25">
      <c r="A54" t="s">
        <v>21</v>
      </c>
      <c r="B54" s="63" t="s">
        <v>107</v>
      </c>
      <c r="C54" s="219">
        <f>C52-C53</f>
        <v>5365</v>
      </c>
      <c r="D54" s="219">
        <f t="shared" ref="D54:G54" si="19">D52-D53</f>
        <v>6668</v>
      </c>
      <c r="E54" s="219">
        <f t="shared" si="19"/>
        <v>5164</v>
      </c>
      <c r="F54" s="219">
        <f t="shared" si="19"/>
        <v>3434</v>
      </c>
      <c r="G54" s="219">
        <f t="shared" si="19"/>
        <v>5957</v>
      </c>
      <c r="H54" s="219">
        <f ca="1">H52-H53</f>
        <v>4011.584273199609</v>
      </c>
      <c r="I54" s="219">
        <f t="shared" ref="I54" ca="1" si="20">I52-I53</f>
        <v>8495.81784702593</v>
      </c>
      <c r="J54" s="219">
        <f t="shared" ref="J54" ca="1" si="21">J52-J53</f>
        <v>14864.330440567031</v>
      </c>
      <c r="K54" s="219">
        <f t="shared" ref="K54" ca="1" si="22">K52-K53</f>
        <v>24163.09321239057</v>
      </c>
      <c r="L54" s="220">
        <f t="shared" ref="L54" ca="1" si="23">L52-L53</f>
        <v>26576.419291326532</v>
      </c>
      <c r="M54" s="1"/>
      <c r="P54" s="7"/>
    </row>
    <row r="55" spans="1:20" ht="15" customHeight="1" x14ac:dyDescent="0.2">
      <c r="B55" s="19" t="s">
        <v>108</v>
      </c>
      <c r="C55" s="214"/>
      <c r="D55" s="214"/>
      <c r="E55" s="214"/>
      <c r="F55" s="214"/>
      <c r="G55" s="214"/>
      <c r="H55" s="20"/>
      <c r="I55" s="20"/>
      <c r="J55" s="20"/>
      <c r="K55" s="20"/>
      <c r="L55" s="21"/>
      <c r="M55" s="1"/>
      <c r="P55" s="3"/>
    </row>
    <row r="56" spans="1:20" ht="15" customHeight="1" x14ac:dyDescent="0.2">
      <c r="B56" s="19" t="s">
        <v>109</v>
      </c>
      <c r="C56" s="221">
        <v>15.87</v>
      </c>
      <c r="D56" s="221">
        <v>21.54</v>
      </c>
      <c r="E56" s="221">
        <v>17.57</v>
      </c>
      <c r="F56" s="221">
        <v>12.25</v>
      </c>
      <c r="G56" s="221">
        <v>22.33</v>
      </c>
      <c r="H56" s="531">
        <f ca="1">H52/Comps!$E$4</f>
        <v>1.6025503937679453</v>
      </c>
      <c r="I56" s="531">
        <f ca="1">I52/Comps!$E$4</f>
        <v>3.3939150492463517</v>
      </c>
      <c r="J56" s="531">
        <f ca="1">J52/Comps!$E$4</f>
        <v>5.9380127596392809</v>
      </c>
      <c r="K56" s="531">
        <f ca="1">K52/Comps!$E$4</f>
        <v>9.6526887895298383</v>
      </c>
      <c r="L56" s="532">
        <f ca="1">L52/Comps!$E$4</f>
        <v>10.616765920833529</v>
      </c>
      <c r="M56" s="1"/>
      <c r="P56" s="2"/>
    </row>
    <row r="57" spans="1:20" ht="15" customHeight="1" thickBot="1" x14ac:dyDescent="0.25">
      <c r="B57" s="27" t="s">
        <v>110</v>
      </c>
      <c r="C57" s="492">
        <v>15.73</v>
      </c>
      <c r="D57" s="492">
        <v>21.3</v>
      </c>
      <c r="E57" s="492">
        <v>17.39</v>
      </c>
      <c r="F57" s="492">
        <v>12.12</v>
      </c>
      <c r="G57" s="492">
        <v>22.18</v>
      </c>
      <c r="H57" s="492">
        <v>22.18</v>
      </c>
      <c r="I57" s="492">
        <v>22.18</v>
      </c>
      <c r="J57" s="492">
        <v>22.18</v>
      </c>
      <c r="K57" s="492">
        <v>22.18</v>
      </c>
      <c r="L57" s="529">
        <v>22.18</v>
      </c>
      <c r="M57" s="1"/>
      <c r="P57" s="8"/>
    </row>
    <row r="58" spans="1:20" ht="15" customHeight="1" x14ac:dyDescent="0.2">
      <c r="B58" s="20"/>
      <c r="C58" s="489"/>
      <c r="D58" s="489"/>
      <c r="E58" s="489"/>
      <c r="F58" s="489"/>
      <c r="G58" s="489"/>
      <c r="H58" s="20"/>
      <c r="I58" s="20"/>
      <c r="J58" s="20"/>
      <c r="K58" s="20"/>
      <c r="L58" s="20"/>
      <c r="M58" s="1"/>
      <c r="P58" s="8"/>
    </row>
    <row r="59" spans="1:20" ht="15" customHeight="1" x14ac:dyDescent="0.2">
      <c r="B59" s="20"/>
      <c r="C59" s="490"/>
      <c r="D59" s="490"/>
      <c r="E59" s="490"/>
      <c r="F59" s="490"/>
      <c r="G59" s="490"/>
      <c r="H59" s="20"/>
      <c r="I59" s="20"/>
      <c r="J59" s="20"/>
      <c r="K59" s="20"/>
      <c r="L59" s="20"/>
      <c r="M59" s="1"/>
      <c r="P59" s="9"/>
    </row>
    <row r="60" spans="1:20" ht="15" customHeight="1" x14ac:dyDescent="0.2">
      <c r="B60" s="20"/>
      <c r="C60" s="491"/>
      <c r="D60" s="491"/>
      <c r="E60" s="491"/>
      <c r="F60" s="491"/>
      <c r="G60" s="491"/>
      <c r="H60" s="20"/>
      <c r="I60" s="20"/>
      <c r="J60" s="20"/>
      <c r="K60" s="20"/>
      <c r="L60" s="20"/>
      <c r="M60" s="1"/>
      <c r="P60" s="2"/>
    </row>
    <row r="61" spans="1:20" ht="15" customHeight="1" x14ac:dyDescent="0.2">
      <c r="B61" s="20"/>
      <c r="C61" s="489"/>
      <c r="D61" s="489"/>
      <c r="E61" s="489"/>
      <c r="F61" s="489"/>
      <c r="G61" s="489"/>
      <c r="H61" s="20"/>
      <c r="I61" s="20"/>
      <c r="J61" s="20"/>
      <c r="K61" s="20"/>
      <c r="L61" s="20"/>
      <c r="M61" s="1"/>
      <c r="P61" s="3"/>
    </row>
    <row r="62" spans="1:20" ht="15" customHeight="1" x14ac:dyDescent="0.2">
      <c r="B62" s="20"/>
      <c r="C62" s="490"/>
      <c r="D62" s="490"/>
      <c r="E62" s="490"/>
      <c r="F62" s="490"/>
      <c r="G62" s="490"/>
      <c r="H62" s="20"/>
      <c r="I62" s="20"/>
      <c r="J62" s="20"/>
      <c r="K62" s="20"/>
      <c r="L62" s="20"/>
      <c r="M62" s="1"/>
      <c r="P62" s="9"/>
    </row>
    <row r="63" spans="1:20" ht="15" customHeight="1" x14ac:dyDescent="0.2">
      <c r="B63" s="20"/>
      <c r="C63" s="491"/>
      <c r="D63" s="491"/>
      <c r="E63" s="491"/>
      <c r="F63" s="491"/>
      <c r="G63" s="491"/>
      <c r="H63" s="20"/>
      <c r="I63" s="20"/>
      <c r="J63" s="20"/>
      <c r="K63" s="20"/>
      <c r="L63" s="20"/>
      <c r="M63" s="1"/>
      <c r="P63" s="2"/>
    </row>
    <row r="64" spans="1:20" ht="15" customHeight="1" x14ac:dyDescent="0.2">
      <c r="M64" s="1"/>
      <c r="P64" s="3"/>
      <c r="Q64" s="10"/>
      <c r="R64" s="10"/>
      <c r="S64" s="10"/>
      <c r="T64" s="10"/>
    </row>
    <row r="65" spans="13:20" ht="15" customHeight="1" x14ac:dyDescent="0.2">
      <c r="M65" s="633"/>
      <c r="N65" s="633"/>
      <c r="O65" s="633"/>
      <c r="P65" s="633"/>
      <c r="Q65" s="633"/>
      <c r="R65" s="633"/>
      <c r="S65" s="633"/>
      <c r="T65" s="633"/>
    </row>
    <row r="66" spans="13:20" ht="15" customHeight="1" x14ac:dyDescent="0.2">
      <c r="M66" s="633"/>
      <c r="N66" s="633"/>
      <c r="O66" s="633"/>
      <c r="P66" s="633"/>
    </row>
  </sheetData>
  <mergeCells count="3">
    <mergeCell ref="Q65:T65"/>
    <mergeCell ref="M65:P65"/>
    <mergeCell ref="M66:P6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3CD6-D89D-4B4A-951E-D7E0FFA3D842}">
  <dimension ref="A1:R82"/>
  <sheetViews>
    <sheetView showGridLines="0" tabSelected="1" topLeftCell="A62" zoomScale="85" zoomScaleNormal="85" workbookViewId="0"/>
  </sheetViews>
  <sheetFormatPr baseColWidth="10" defaultColWidth="15.5" defaultRowHeight="15" customHeight="1" x14ac:dyDescent="0.2"/>
  <cols>
    <col min="1" max="1" width="2.5" customWidth="1"/>
    <col min="2" max="2" width="48.5" customWidth="1"/>
  </cols>
  <sheetData>
    <row r="1" spans="1:16" ht="15" customHeight="1" thickBot="1" x14ac:dyDescent="0.25"/>
    <row r="2" spans="1:16" ht="15" customHeight="1" x14ac:dyDescent="0.2">
      <c r="B2" s="93" t="s">
        <v>111</v>
      </c>
      <c r="C2" s="458" t="s">
        <v>12</v>
      </c>
      <c r="D2" s="458"/>
      <c r="E2" s="458"/>
      <c r="F2" s="458"/>
      <c r="G2" s="458"/>
      <c r="H2" s="458" t="s">
        <v>14</v>
      </c>
      <c r="I2" s="458"/>
      <c r="J2" s="458"/>
      <c r="K2" s="458"/>
      <c r="L2" s="459"/>
      <c r="N2" s="12"/>
      <c r="O2" s="12"/>
      <c r="P2" s="17"/>
    </row>
    <row r="3" spans="1:16" ht="15" customHeight="1" x14ac:dyDescent="0.2">
      <c r="B3" s="94" t="s">
        <v>112</v>
      </c>
      <c r="C3" s="95">
        <v>2021</v>
      </c>
      <c r="D3" s="95">
        <f>C3+1</f>
        <v>2022</v>
      </c>
      <c r="E3" s="95">
        <f t="shared" ref="E3:L3" si="0">D3+1</f>
        <v>2023</v>
      </c>
      <c r="F3" s="95">
        <f t="shared" si="0"/>
        <v>2024</v>
      </c>
      <c r="G3" s="95">
        <f t="shared" si="0"/>
        <v>2025</v>
      </c>
      <c r="H3" s="95">
        <f t="shared" si="0"/>
        <v>2026</v>
      </c>
      <c r="I3" s="95">
        <f t="shared" si="0"/>
        <v>2027</v>
      </c>
      <c r="J3" s="95">
        <f t="shared" si="0"/>
        <v>2028</v>
      </c>
      <c r="K3" s="95">
        <f t="shared" si="0"/>
        <v>2029</v>
      </c>
      <c r="L3" s="96">
        <f t="shared" si="0"/>
        <v>2030</v>
      </c>
      <c r="N3" s="12"/>
      <c r="O3" s="12"/>
      <c r="P3" s="17"/>
    </row>
    <row r="4" spans="1:16" ht="15" customHeight="1" x14ac:dyDescent="0.2">
      <c r="B4" s="59" t="s">
        <v>59</v>
      </c>
      <c r="C4" s="64"/>
      <c r="D4" s="64"/>
      <c r="E4" s="65"/>
      <c r="F4" s="65"/>
      <c r="G4" s="65"/>
      <c r="H4" s="66"/>
      <c r="I4" s="67"/>
      <c r="J4" s="68"/>
      <c r="K4" s="66"/>
      <c r="L4" s="69"/>
      <c r="N4" s="2"/>
      <c r="O4" s="13"/>
      <c r="P4" s="13"/>
    </row>
    <row r="5" spans="1:16" ht="15" customHeight="1" x14ac:dyDescent="0.2">
      <c r="B5" s="19" t="s">
        <v>60</v>
      </c>
      <c r="C5" s="26">
        <v>5081</v>
      </c>
      <c r="D5" s="26">
        <v>5924</v>
      </c>
      <c r="E5" s="26">
        <v>7822</v>
      </c>
      <c r="F5" s="26">
        <v>7550</v>
      </c>
      <c r="G5" s="26">
        <v>7676</v>
      </c>
      <c r="H5" s="158">
        <f>Assumptions!L57*'Income Statement'!H38</f>
        <v>9258.8782695518221</v>
      </c>
      <c r="I5" s="159">
        <f>Assumptions!M57*'Income Statement'!I38</f>
        <v>9420.812590399355</v>
      </c>
      <c r="J5" s="159">
        <f>Assumptions!N57*'Income Statement'!J38</f>
        <v>9341.6392940689511</v>
      </c>
      <c r="K5" s="158">
        <f>Assumptions!O57*'Income Statement'!K38</f>
        <v>9094.1538817407345</v>
      </c>
      <c r="L5" s="160">
        <f>Assumptions!P57*'Income Statement'!L38</f>
        <v>9851.1119930573095</v>
      </c>
      <c r="O5" s="16"/>
      <c r="P5" s="16"/>
    </row>
    <row r="6" spans="1:16" ht="15" customHeight="1" x14ac:dyDescent="0.2">
      <c r="B6" s="19" t="s">
        <v>113</v>
      </c>
      <c r="C6" s="26"/>
      <c r="D6" s="26"/>
      <c r="E6" s="26"/>
      <c r="F6" s="26"/>
      <c r="G6" s="26"/>
      <c r="H6" s="158">
        <f ca="1">IF('Cash Flow Statement'!D75&gt;0,'Cash Flow Statement'!D75,0)</f>
        <v>0</v>
      </c>
      <c r="I6" s="158">
        <f ca="1">IF('Cash Flow Statement'!E75&gt;0,'Cash Flow Statement'!E75,0)</f>
        <v>0</v>
      </c>
      <c r="J6" s="158">
        <f ca="1">IF('Cash Flow Statement'!F75&gt;0,'Cash Flow Statement'!F75,0)</f>
        <v>0</v>
      </c>
      <c r="K6" s="158">
        <f ca="1">IF('Cash Flow Statement'!G75&gt;0,'Cash Flow Statement'!G75,0)</f>
        <v>9444.302418709809</v>
      </c>
      <c r="L6" s="613">
        <f ca="1">IF('Cash Flow Statement'!H75&gt;0,'Cash Flow Statement'!H75,0)</f>
        <v>27509.90070304674</v>
      </c>
      <c r="O6" s="16"/>
      <c r="P6" s="16"/>
    </row>
    <row r="7" spans="1:16" ht="15" customHeight="1" x14ac:dyDescent="0.2">
      <c r="B7" s="19" t="s">
        <v>61</v>
      </c>
      <c r="C7" s="26">
        <v>920</v>
      </c>
      <c r="D7" s="26">
        <v>905</v>
      </c>
      <c r="E7" s="26">
        <v>925</v>
      </c>
      <c r="F7" s="26">
        <v>665</v>
      </c>
      <c r="G7" s="26">
        <v>1056</v>
      </c>
      <c r="H7" s="159">
        <f>Assumptions!L58*'Income Statement'!H38</f>
        <v>925.88782695518216</v>
      </c>
      <c r="I7" s="159">
        <f>Assumptions!M58*'Income Statement'!I38</f>
        <v>1199.0125115053727</v>
      </c>
      <c r="J7" s="159">
        <f>Assumptions!N58*'Income Statement'!J38</f>
        <v>1307.829501169653</v>
      </c>
      <c r="K7" s="158">
        <f>Assumptions!O58*'Income Statement'!K38</f>
        <v>1616.7384678650196</v>
      </c>
      <c r="L7" s="160">
        <f>Assumptions!P58*'Income Statement'!L38</f>
        <v>1751.3087987657441</v>
      </c>
      <c r="O7" s="15"/>
      <c r="P7" s="15"/>
    </row>
    <row r="8" spans="1:16" ht="15" customHeight="1" x14ac:dyDescent="0.2">
      <c r="B8" s="19" t="s">
        <v>62</v>
      </c>
      <c r="C8" s="26">
        <v>15071</v>
      </c>
      <c r="D8" s="26">
        <v>17218</v>
      </c>
      <c r="E8" s="26">
        <v>17722</v>
      </c>
      <c r="F8" s="26">
        <v>24227</v>
      </c>
      <c r="G8" s="26">
        <v>28768</v>
      </c>
      <c r="H8" s="159">
        <f>Assumptions!L59*'Income Statement'!H38</f>
        <v>29319.781186914104</v>
      </c>
      <c r="I8" s="159">
        <f>Assumptions!M59*'Income Statement'!I38</f>
        <v>33401.062820506806</v>
      </c>
      <c r="J8" s="159">
        <f>Assumptions!N59*'Income Statement'!J38</f>
        <v>37366.557176275805</v>
      </c>
      <c r="K8" s="158">
        <f>Assumptions!O59*'Income Statement'!K38</f>
        <v>41428.923239041127</v>
      </c>
      <c r="L8" s="160">
        <f>Assumptions!P59*'Income Statement'!L38</f>
        <v>44877.287968372191</v>
      </c>
      <c r="O8" s="14"/>
      <c r="P8" s="14"/>
    </row>
    <row r="9" spans="1:16" ht="15" customHeight="1" x14ac:dyDescent="0.2">
      <c r="B9" s="19" t="s">
        <v>64</v>
      </c>
      <c r="C9" s="26">
        <v>3722</v>
      </c>
      <c r="D9" s="26">
        <v>4777</v>
      </c>
      <c r="E9" s="26">
        <v>5645</v>
      </c>
      <c r="F9" s="26">
        <v>6692</v>
      </c>
      <c r="G9" s="26">
        <v>7338</v>
      </c>
      <c r="H9" s="159">
        <f>Assumptions!L60*'Income Statement'!H40</f>
        <v>7129.3362675549033</v>
      </c>
      <c r="I9" s="159">
        <f>Assumptions!M60*'Income Statement'!I40</f>
        <v>8331.4240799459039</v>
      </c>
      <c r="J9" s="159">
        <f>Assumptions!N60*'Income Statement'!J40</f>
        <v>9528.4720799503302</v>
      </c>
      <c r="K9" s="158">
        <f>Assumptions!O60*'Income Statement'!K40</f>
        <v>10767.478195981028</v>
      </c>
      <c r="L9" s="160">
        <f>Assumptions!P60*'Income Statement'!L40</f>
        <v>12145.326519440436</v>
      </c>
      <c r="N9" s="30"/>
      <c r="O9" s="14"/>
      <c r="P9" s="14"/>
    </row>
    <row r="10" spans="1:16" ht="15" customHeight="1" x14ac:dyDescent="0.2">
      <c r="B10" s="19" t="s">
        <v>65</v>
      </c>
      <c r="C10" s="26">
        <v>1283</v>
      </c>
      <c r="D10" s="26">
        <v>1296</v>
      </c>
      <c r="E10" s="26">
        <v>2169</v>
      </c>
      <c r="F10" s="26">
        <v>2732</v>
      </c>
      <c r="G10" s="26">
        <v>2976</v>
      </c>
      <c r="H10" s="159">
        <f>Assumptions!L61*'Income Statement'!H38</f>
        <v>3086.292756517274</v>
      </c>
      <c r="I10" s="159">
        <f>Assumptions!M61*'Income Statement'!I38</f>
        <v>3528.5225338586679</v>
      </c>
      <c r="J10" s="159">
        <f>Assumptions!N61*'Income Statement'!J38</f>
        <v>3960.855060685235</v>
      </c>
      <c r="K10" s="158">
        <f>Assumptions!O61*'Income Statement'!K38</f>
        <v>4405.6123249321781</v>
      </c>
      <c r="L10" s="160">
        <f>Assumptions!P61*'Income Statement'!L38</f>
        <v>4903.6646365440838</v>
      </c>
      <c r="O10" s="14"/>
      <c r="P10" s="14"/>
    </row>
    <row r="11" spans="1:16" ht="15" customHeight="1" x14ac:dyDescent="0.2">
      <c r="B11" s="19" t="s">
        <v>66</v>
      </c>
      <c r="C11" s="26">
        <v>10057</v>
      </c>
      <c r="D11" s="26">
        <v>0</v>
      </c>
      <c r="E11" s="26">
        <v>3068</v>
      </c>
      <c r="F11" s="26">
        <v>7004</v>
      </c>
      <c r="G11" s="26">
        <v>0</v>
      </c>
      <c r="H11" s="26">
        <v>0</v>
      </c>
      <c r="I11" s="26">
        <v>0</v>
      </c>
      <c r="J11" s="26">
        <v>0</v>
      </c>
      <c r="K11" s="26">
        <v>0</v>
      </c>
      <c r="L11" s="602">
        <v>0</v>
      </c>
      <c r="O11" s="15"/>
      <c r="P11" s="15"/>
    </row>
    <row r="12" spans="1:16" ht="15" customHeight="1" thickBot="1" x14ac:dyDescent="0.25">
      <c r="A12" t="s">
        <v>21</v>
      </c>
      <c r="B12" s="83" t="s">
        <v>114</v>
      </c>
      <c r="C12" s="84">
        <f>SUM(C5:C11)</f>
        <v>36134</v>
      </c>
      <c r="D12" s="84">
        <f t="shared" ref="D12:G12" si="1">SUM(D5:D11)</f>
        <v>30120</v>
      </c>
      <c r="E12" s="84">
        <f t="shared" si="1"/>
        <v>37351</v>
      </c>
      <c r="F12" s="84">
        <f t="shared" si="1"/>
        <v>48870</v>
      </c>
      <c r="G12" s="84">
        <f t="shared" si="1"/>
        <v>47814</v>
      </c>
      <c r="H12" s="161">
        <f t="shared" ref="H12" ca="1" si="2">SUM(H5:H11)</f>
        <v>49720.176307493282</v>
      </c>
      <c r="I12" s="161">
        <f t="shared" ref="I12" ca="1" si="3">SUM(I5:I11)</f>
        <v>55880.834536216113</v>
      </c>
      <c r="J12" s="161">
        <f t="shared" ref="J12" ca="1" si="4">SUM(J5:J11)</f>
        <v>61505.353112149969</v>
      </c>
      <c r="K12" s="161">
        <f t="shared" ref="K12" ca="1" si="5">SUM(K5:K11)</f>
        <v>76757.208528269897</v>
      </c>
      <c r="L12" s="162">
        <f t="shared" ref="L12" ca="1" si="6">SUM(L5:L11)</f>
        <v>101038.6006192265</v>
      </c>
      <c r="N12" s="30"/>
      <c r="O12" s="14"/>
      <c r="P12" s="14"/>
    </row>
    <row r="13" spans="1:16" ht="15" customHeight="1" x14ac:dyDescent="0.2">
      <c r="B13" s="19" t="s">
        <v>67</v>
      </c>
      <c r="C13" s="26">
        <v>18438</v>
      </c>
      <c r="D13" s="26">
        <v>16288</v>
      </c>
      <c r="E13" s="26">
        <v>17985</v>
      </c>
      <c r="F13" s="26">
        <v>15128</v>
      </c>
      <c r="G13" s="26">
        <v>18471</v>
      </c>
      <c r="H13" s="159">
        <f>Assumptions!L63*'Income Statement'!H38</f>
        <v>24693.507504501136</v>
      </c>
      <c r="I13" s="159">
        <f>Assumptions!M63*'Income Statement'!I38</f>
        <v>27409.513879280123</v>
      </c>
      <c r="J13" s="159">
        <f>Assumptions!N63*'Income Statement'!J38</f>
        <v>29897.078237353304</v>
      </c>
      <c r="K13" s="158">
        <f>Assumptions!O63*'Income Statement'!K38</f>
        <v>32338.914871844143</v>
      </c>
      <c r="L13" s="160">
        <f>Assumptions!P63*'Income Statement'!L38</f>
        <v>35030.666544593827</v>
      </c>
      <c r="M13" t="s">
        <v>21</v>
      </c>
      <c r="O13" s="14"/>
      <c r="P13" s="14"/>
    </row>
    <row r="14" spans="1:16" ht="15" customHeight="1" x14ac:dyDescent="0.2">
      <c r="B14" s="19" t="s">
        <v>68</v>
      </c>
      <c r="C14" s="26">
        <v>4970</v>
      </c>
      <c r="D14" s="26">
        <v>4743</v>
      </c>
      <c r="E14" s="26">
        <v>4835</v>
      </c>
      <c r="F14" s="26">
        <v>4378</v>
      </c>
      <c r="G14" s="26">
        <v>4103</v>
      </c>
      <c r="H14" s="159">
        <f>Assumptions!L64*'Income Statement'!H38</f>
        <v>4309.6992052007217</v>
      </c>
      <c r="I14" s="159">
        <f>Assumptions!M64*'Income Statement'!I38</f>
        <v>5995.0625575268632</v>
      </c>
      <c r="J14" s="159">
        <f>Assumptions!N64*'Income Statement'!J38</f>
        <v>7473.3114352551602</v>
      </c>
      <c r="K14" s="159">
        <f>Assumptions!O64*'Income Statement'!K38</f>
        <v>9094.1538817407345</v>
      </c>
      <c r="L14" s="160">
        <f>Assumptions!P64*'Income Statement'!L38</f>
        <v>10945.679992285901</v>
      </c>
      <c r="O14" s="14"/>
      <c r="P14" s="14"/>
    </row>
    <row r="15" spans="1:16" ht="15" customHeight="1" x14ac:dyDescent="0.2">
      <c r="B15" s="19" t="s">
        <v>69</v>
      </c>
      <c r="C15" s="26">
        <v>3692</v>
      </c>
      <c r="D15" s="26">
        <v>3774</v>
      </c>
      <c r="E15" s="26">
        <v>3695</v>
      </c>
      <c r="F15" s="26">
        <v>3654</v>
      </c>
      <c r="G15" s="26">
        <v>3651</v>
      </c>
      <c r="H15" s="124">
        <f>Assumptions!L65</f>
        <v>4321.6993148036563</v>
      </c>
      <c r="I15" s="124">
        <f>Assumptions!M65</f>
        <v>4326.5317172684345</v>
      </c>
      <c r="J15" s="124">
        <f>Assumptions!N65</f>
        <v>4226.9420899372708</v>
      </c>
      <c r="K15" s="123">
        <f>Assumptions!O65</f>
        <v>3951.0496403913007</v>
      </c>
      <c r="L15" s="125">
        <f>Assumptions!P65</f>
        <v>3644.2803784385396</v>
      </c>
      <c r="O15" s="14"/>
      <c r="P15" s="14"/>
    </row>
    <row r="16" spans="1:16" ht="15" customHeight="1" x14ac:dyDescent="0.2">
      <c r="B16" s="19" t="s">
        <v>70</v>
      </c>
      <c r="C16" s="26">
        <v>45811</v>
      </c>
      <c r="D16" s="26">
        <v>45811</v>
      </c>
      <c r="E16" s="26">
        <v>44259</v>
      </c>
      <c r="F16" s="26">
        <v>44370</v>
      </c>
      <c r="G16" s="26">
        <v>44924</v>
      </c>
      <c r="H16" s="123">
        <f>Assumptions!$L$66</f>
        <v>44924</v>
      </c>
      <c r="I16" s="124">
        <f>Assumptions!$L$66</f>
        <v>44924</v>
      </c>
      <c r="J16" s="124">
        <f>Assumptions!$L$66</f>
        <v>44924</v>
      </c>
      <c r="K16" s="123">
        <f>Assumptions!$L$66</f>
        <v>44924</v>
      </c>
      <c r="L16" s="125">
        <f>Assumptions!$L$66</f>
        <v>44924</v>
      </c>
      <c r="O16" s="14"/>
      <c r="P16" s="14"/>
    </row>
    <row r="17" spans="1:18" ht="15" customHeight="1" x14ac:dyDescent="0.2">
      <c r="B17" s="19" t="s">
        <v>71</v>
      </c>
      <c r="C17" s="26">
        <v>34102</v>
      </c>
      <c r="D17" s="26">
        <v>32492</v>
      </c>
      <c r="E17" s="26">
        <v>30863</v>
      </c>
      <c r="F17" s="26">
        <v>29417</v>
      </c>
      <c r="G17" s="26">
        <v>28560</v>
      </c>
      <c r="H17" s="159">
        <f>Assumptions!L67*'Income Statement'!H38</f>
        <v>32406.073943431376</v>
      </c>
      <c r="I17" s="159">
        <f>Assumptions!M67*'Income Statement'!I38</f>
        <v>36826.812853379299</v>
      </c>
      <c r="J17" s="159">
        <f>Assumptions!N67*'Income Statement'!J38</f>
        <v>41103.212893903379</v>
      </c>
      <c r="K17" s="158">
        <f>Assumptions!O67*'Income Statement'!K38</f>
        <v>45470.76940870368</v>
      </c>
      <c r="L17" s="160">
        <f>Assumptions!P67*'Income Statement'!L38</f>
        <v>50350.127964515144</v>
      </c>
      <c r="O17" s="14"/>
      <c r="P17" s="14"/>
    </row>
    <row r="18" spans="1:18" ht="15" customHeight="1" x14ac:dyDescent="0.2">
      <c r="B18" s="19" t="s">
        <v>72</v>
      </c>
      <c r="C18" s="26">
        <v>3405</v>
      </c>
      <c r="D18" s="26">
        <v>3426</v>
      </c>
      <c r="E18" s="26">
        <v>3421</v>
      </c>
      <c r="F18" s="26">
        <v>2786</v>
      </c>
      <c r="G18" s="26">
        <v>2885</v>
      </c>
      <c r="H18" s="159">
        <f>Assumptions!L68*'Income Statement'!H38</f>
        <v>3086.292756517274</v>
      </c>
      <c r="I18" s="159">
        <f>Assumptions!M68*'Income Statement'!I38</f>
        <v>3083.1750295852435</v>
      </c>
      <c r="J18" s="159">
        <f>Assumptions!N68*'Income Statement'!J38</f>
        <v>2989.3245741020642</v>
      </c>
      <c r="K18" s="158">
        <f>Assumptions!O68*'Income Statement'!K38</f>
        <v>2829.2923187637844</v>
      </c>
      <c r="L18" s="160">
        <f>Assumptions!P68*'Income Statement'!L38</f>
        <v>2845.8767979943341</v>
      </c>
      <c r="O18" s="14"/>
      <c r="P18" s="14"/>
    </row>
    <row r="19" spans="1:18" ht="15" customHeight="1" x14ac:dyDescent="0.2">
      <c r="B19" s="19" t="s">
        <v>73</v>
      </c>
      <c r="C19" s="26">
        <v>8337</v>
      </c>
      <c r="D19" s="26">
        <v>7278</v>
      </c>
      <c r="E19" s="26">
        <v>7430</v>
      </c>
      <c r="F19" s="26">
        <v>7278</v>
      </c>
      <c r="G19" s="26">
        <v>7511</v>
      </c>
      <c r="H19" s="159">
        <f>Assumptions!L81*'Income Statement'!H38</f>
        <v>8178.6758047707754</v>
      </c>
      <c r="I19" s="159">
        <f>Assumptions!M81*'Income Statement'!I38</f>
        <v>8906.9500854684811</v>
      </c>
      <c r="J19" s="159">
        <f>Assumptions!N81*'Income Statement'!J38</f>
        <v>9528.4720799503284</v>
      </c>
      <c r="K19" s="158">
        <f>Assumptions!O81*'Income Statement'!K38</f>
        <v>10104.615424156373</v>
      </c>
      <c r="L19" s="160">
        <f>Assumptions!P81*'Income Statement'!L38</f>
        <v>10945.679992285901</v>
      </c>
      <c r="O19" s="14"/>
      <c r="P19" s="14"/>
    </row>
    <row r="20" spans="1:18" ht="15" customHeight="1" x14ac:dyDescent="0.2">
      <c r="B20" s="19" t="s">
        <v>74</v>
      </c>
      <c r="C20" s="26">
        <v>0</v>
      </c>
      <c r="D20" s="26">
        <v>0</v>
      </c>
      <c r="E20" s="26">
        <v>2922</v>
      </c>
      <c r="F20" s="26">
        <v>0</v>
      </c>
      <c r="G20" s="26">
        <v>0</v>
      </c>
      <c r="H20" s="158">
        <f>Assumptions!L70*'Income Statement'!H38</f>
        <v>0</v>
      </c>
      <c r="I20" s="159">
        <f>Assumptions!M70*'Income Statement'!I38</f>
        <v>0</v>
      </c>
      <c r="J20" s="159">
        <f>Assumptions!N70*'Income Statement'!J38</f>
        <v>0</v>
      </c>
      <c r="K20" s="158">
        <f>Assumptions!O70*'Income Statement'!K38</f>
        <v>0</v>
      </c>
      <c r="L20" s="160">
        <f>Assumptions!P70*'Income Statement'!L38</f>
        <v>0</v>
      </c>
      <c r="O20" s="4"/>
      <c r="P20" s="4"/>
    </row>
    <row r="21" spans="1:18" ht="15" customHeight="1" thickBot="1" x14ac:dyDescent="0.25">
      <c r="A21" t="s">
        <v>21</v>
      </c>
      <c r="B21" s="83" t="s">
        <v>115</v>
      </c>
      <c r="C21" s="84">
        <f>SUM(C12:C20)</f>
        <v>154889</v>
      </c>
      <c r="D21" s="84">
        <f t="shared" ref="D21:G21" si="7">SUM(D12:D20)</f>
        <v>143932</v>
      </c>
      <c r="E21" s="84">
        <f t="shared" si="7"/>
        <v>152761</v>
      </c>
      <c r="F21" s="84">
        <f t="shared" si="7"/>
        <v>155881</v>
      </c>
      <c r="G21" s="84">
        <f t="shared" si="7"/>
        <v>157919</v>
      </c>
      <c r="H21" s="84">
        <f t="shared" ref="H21" ca="1" si="8">SUM(H12:H20)</f>
        <v>171640.12483671823</v>
      </c>
      <c r="I21" s="84">
        <f t="shared" ref="I21" ca="1" si="9">SUM(I12:I20)</f>
        <v>187352.88065872455</v>
      </c>
      <c r="J21" s="84">
        <f t="shared" ref="J21" ca="1" si="10">SUM(J12:J20)</f>
        <v>201647.69442265146</v>
      </c>
      <c r="K21" s="84">
        <f t="shared" ref="K21" ca="1" si="11">SUM(K12:K20)</f>
        <v>225470.0040738699</v>
      </c>
      <c r="L21" s="85">
        <f t="shared" ref="L21" ca="1" si="12">SUM(L12:L20)</f>
        <v>259724.91228934017</v>
      </c>
      <c r="O21" s="15"/>
      <c r="P21" s="15"/>
    </row>
    <row r="22" spans="1:18" ht="15" customHeight="1" x14ac:dyDescent="0.2">
      <c r="B22" s="62" t="s">
        <v>75</v>
      </c>
      <c r="C22" s="80"/>
      <c r="D22" s="80"/>
      <c r="E22" s="80"/>
      <c r="F22" s="80"/>
      <c r="G22" s="80"/>
      <c r="H22" s="134"/>
      <c r="I22" s="126"/>
      <c r="J22" s="127"/>
      <c r="K22" s="134"/>
      <c r="L22" s="128"/>
      <c r="O22" s="14"/>
      <c r="P22" s="14"/>
    </row>
    <row r="23" spans="1:18" ht="15" customHeight="1" x14ac:dyDescent="0.2">
      <c r="B23" s="19" t="s">
        <v>76</v>
      </c>
      <c r="C23" s="26">
        <v>5318</v>
      </c>
      <c r="D23" s="26">
        <v>5385</v>
      </c>
      <c r="E23" s="26">
        <v>5514</v>
      </c>
      <c r="F23" s="26">
        <v>5388</v>
      </c>
      <c r="G23" s="26">
        <v>5710</v>
      </c>
      <c r="H23" s="159">
        <f>Assumptions!L73*'Income Statement'!H38</f>
        <v>6326.9001508604115</v>
      </c>
      <c r="I23" s="159">
        <f>Assumptions!M73*'Income Statement'!I38</f>
        <v>6851.5000657449864</v>
      </c>
      <c r="J23" s="159">
        <f>Assumptions!N73*'Income Statement'!J38</f>
        <v>7286.4786493737811</v>
      </c>
      <c r="K23" s="158">
        <f>Assumptions!O73*'Income Statement'!K38</f>
        <v>7679.5077223588423</v>
      </c>
      <c r="L23" s="160">
        <f>Assumptions!P73*'Income Statement'!L38</f>
        <v>8318.7167941372845</v>
      </c>
      <c r="O23" s="13"/>
      <c r="P23" s="13"/>
    </row>
    <row r="24" spans="1:18" ht="15" customHeight="1" x14ac:dyDescent="0.2">
      <c r="B24" s="19" t="s">
        <v>77</v>
      </c>
      <c r="C24" s="26">
        <v>15309</v>
      </c>
      <c r="D24" s="26">
        <v>17070</v>
      </c>
      <c r="E24" s="26">
        <v>19815</v>
      </c>
      <c r="F24" s="26">
        <v>28465</v>
      </c>
      <c r="G24" s="26">
        <v>30333</v>
      </c>
      <c r="H24" s="159">
        <f>Assumptions!L74*'Income Statement'!H38</f>
        <v>31449.323188911025</v>
      </c>
      <c r="I24" s="159">
        <f>Assumptions!M74*'Income Statement'!I38</f>
        <v>34908.392834970706</v>
      </c>
      <c r="J24" s="159">
        <f>Assumptions!N74*'Income Statement'!J38</f>
        <v>38076.521762625045</v>
      </c>
      <c r="K24" s="158">
        <f>Assumptions!O74*'Income Statement'!K38</f>
        <v>41186.412468861374</v>
      </c>
      <c r="L24" s="160">
        <f>Assumptions!P74*'Income Statement'!L38</f>
        <v>44614.591648557333</v>
      </c>
      <c r="O24" s="14"/>
      <c r="P24" s="14"/>
    </row>
    <row r="25" spans="1:18" ht="15" customHeight="1" x14ac:dyDescent="0.2">
      <c r="B25" s="19" t="s">
        <v>78</v>
      </c>
      <c r="C25" s="26">
        <v>6655</v>
      </c>
      <c r="D25" s="26">
        <v>7775</v>
      </c>
      <c r="E25" s="26">
        <v>8553</v>
      </c>
      <c r="F25" s="26">
        <v>9294</v>
      </c>
      <c r="G25" s="26">
        <v>10659</v>
      </c>
      <c r="H25" s="159">
        <f>Assumptions!L75*'Income Statement'!H40</f>
        <v>9505.781690073205</v>
      </c>
      <c r="I25" s="159">
        <f>Assumptions!M75*'Income Statement'!I40</f>
        <v>10674.637102430688</v>
      </c>
      <c r="J25" s="159">
        <f>Assumptions!N75*'Income Statement'!J40</f>
        <v>11770.465510526878</v>
      </c>
      <c r="K25" s="158">
        <f>Assumptions!O75*'Income Statement'!K40</f>
        <v>12861.154511866229</v>
      </c>
      <c r="L25" s="160">
        <f>Assumptions!P75*'Income Statement'!L40</f>
        <v>14063.009654088924</v>
      </c>
      <c r="O25" s="14"/>
      <c r="P25" s="14"/>
    </row>
    <row r="26" spans="1:18" ht="15" customHeight="1" x14ac:dyDescent="0.2">
      <c r="B26" s="19" t="s">
        <v>116</v>
      </c>
      <c r="C26" s="26"/>
      <c r="D26" s="26"/>
      <c r="E26" s="26"/>
      <c r="F26" s="26"/>
      <c r="G26" s="26"/>
      <c r="H26" s="158">
        <f ca="1">IF('Cash Flow Statement'!D75&lt;0,'Cash Flow Statement'!D75,0)*(-1)</f>
        <v>8038.1748750447878</v>
      </c>
      <c r="I26" s="158">
        <f ca="1">IF('Cash Flow Statement'!E75&lt;0,'Cash Flow Statement'!E75,0)*(-1)</f>
        <v>11022.901771262905</v>
      </c>
      <c r="J26" s="158">
        <f ca="1">IF('Cash Flow Statement'!F75&lt;0,'Cash Flow Statement'!F75,0)*(-1)</f>
        <v>6114.023717868833</v>
      </c>
      <c r="K26" s="158">
        <f ca="1">IF('Cash Flow Statement'!G75&lt;0,'Cash Flow Statement'!G75,0)</f>
        <v>0</v>
      </c>
      <c r="L26" s="613">
        <f ca="1">IF('Cash Flow Statement'!H75&lt;0,'Cash Flow Statement'!H75,0)</f>
        <v>0</v>
      </c>
      <c r="O26" s="14"/>
      <c r="P26" s="14"/>
    </row>
    <row r="27" spans="1:18" ht="15" customHeight="1" x14ac:dyDescent="0.2">
      <c r="B27" s="19" t="s">
        <v>79</v>
      </c>
      <c r="C27" s="26">
        <v>7322</v>
      </c>
      <c r="D27" s="26">
        <v>8006</v>
      </c>
      <c r="E27" s="26">
        <v>9955</v>
      </c>
      <c r="F27" s="26">
        <v>9387</v>
      </c>
      <c r="G27" s="26">
        <v>9048</v>
      </c>
      <c r="H27" s="165">
        <f>Assumptions!L76*'Income Statement'!H38</f>
        <v>12345.171026069096</v>
      </c>
      <c r="I27" s="165">
        <f>Assumptions!M76*'Income Statement'!I38</f>
        <v>13703.000131489973</v>
      </c>
      <c r="J27" s="165">
        <f>Assumptions!N76*'Income Statement'!J38</f>
        <v>14946.62287051032</v>
      </c>
      <c r="K27" s="164">
        <f>Assumptions!O76*'Income Statement'!K38</f>
        <v>16167.384678650196</v>
      </c>
      <c r="L27" s="160">
        <f>Assumptions!P76*'Income Statement'!L38</f>
        <v>17513.08798765744</v>
      </c>
      <c r="O27" s="14"/>
      <c r="P27" s="14"/>
    </row>
    <row r="28" spans="1:18" ht="15" customHeight="1" x14ac:dyDescent="0.2">
      <c r="B28" s="19" t="s">
        <v>117</v>
      </c>
      <c r="C28" s="26">
        <v>2545</v>
      </c>
      <c r="D28" s="26">
        <v>2993</v>
      </c>
      <c r="E28" s="26">
        <v>2775</v>
      </c>
      <c r="F28" s="26">
        <v>3035</v>
      </c>
      <c r="G28" s="26"/>
      <c r="H28" s="620"/>
      <c r="I28" s="620"/>
      <c r="J28" s="620"/>
      <c r="K28" s="621"/>
      <c r="L28" s="125"/>
      <c r="O28" s="316"/>
      <c r="P28" s="316"/>
      <c r="Q28" s="316"/>
      <c r="R28" s="316"/>
    </row>
    <row r="29" spans="1:18" ht="15" customHeight="1" x14ac:dyDescent="0.2">
      <c r="B29" s="19" t="s">
        <v>118</v>
      </c>
      <c r="C29" s="26"/>
      <c r="D29" s="26"/>
      <c r="E29" s="26"/>
      <c r="F29" s="26"/>
      <c r="G29" s="112">
        <f>'Debt Schedule'!E8</f>
        <v>549</v>
      </c>
      <c r="H29" s="112">
        <f>'Debt Schedule'!F8</f>
        <v>0</v>
      </c>
      <c r="I29" s="112">
        <f>'Debt Schedule'!G8</f>
        <v>0</v>
      </c>
      <c r="J29" s="112">
        <f>'Debt Schedule'!H8</f>
        <v>0</v>
      </c>
      <c r="K29" s="112">
        <f>'Debt Schedule'!I8</f>
        <v>0</v>
      </c>
      <c r="L29" s="115">
        <f>'Debt Schedule'!J8</f>
        <v>0</v>
      </c>
      <c r="O29" s="616"/>
      <c r="P29" s="616"/>
      <c r="Q29" s="616"/>
      <c r="R29" s="616"/>
    </row>
    <row r="30" spans="1:18" ht="15" customHeight="1" x14ac:dyDescent="0.2">
      <c r="B30" s="19" t="s">
        <v>119</v>
      </c>
      <c r="C30" s="26"/>
      <c r="D30" s="26"/>
      <c r="E30" s="26"/>
      <c r="F30" s="26"/>
      <c r="G30" s="112">
        <f>'Debt Schedule'!E16</f>
        <v>43</v>
      </c>
      <c r="H30" s="112">
        <f>'Debt Schedule'!F16</f>
        <v>41</v>
      </c>
      <c r="I30" s="112">
        <f>'Debt Schedule'!G16</f>
        <v>39</v>
      </c>
      <c r="J30" s="112">
        <f>'Debt Schedule'!H16</f>
        <v>37</v>
      </c>
      <c r="K30" s="112">
        <f>'Debt Schedule'!I16</f>
        <v>35</v>
      </c>
      <c r="L30" s="115">
        <f>'Debt Schedule'!J16</f>
        <v>33</v>
      </c>
      <c r="O30" s="14"/>
      <c r="P30" s="14"/>
    </row>
    <row r="31" spans="1:18" ht="15" customHeight="1" x14ac:dyDescent="0.2">
      <c r="B31" s="19" t="s">
        <v>80</v>
      </c>
      <c r="C31" s="26">
        <v>6423</v>
      </c>
      <c r="D31" s="26">
        <v>0</v>
      </c>
      <c r="E31" s="26">
        <v>2104</v>
      </c>
      <c r="F31" s="26">
        <v>2410</v>
      </c>
      <c r="G31" s="26">
        <v>0</v>
      </c>
      <c r="H31" s="164">
        <f>Assumptions!L77*'Income Statement'!H38</f>
        <v>0</v>
      </c>
      <c r="I31" s="165">
        <f>Assumptions!M77*'Income Statement'!I38</f>
        <v>0</v>
      </c>
      <c r="J31" s="165">
        <f>Assumptions!N77*'Income Statement'!J38</f>
        <v>0</v>
      </c>
      <c r="K31" s="164">
        <f>Assumptions!O77*'Income Statement'!K38</f>
        <v>0</v>
      </c>
      <c r="L31" s="160">
        <f>Assumptions!P77*'Income Statement'!L38</f>
        <v>0</v>
      </c>
      <c r="O31" s="14"/>
      <c r="P31" s="14"/>
    </row>
    <row r="32" spans="1:18" ht="15" customHeight="1" thickBot="1" x14ac:dyDescent="0.25">
      <c r="A32" t="s">
        <v>21</v>
      </c>
      <c r="B32" s="83" t="s">
        <v>120</v>
      </c>
      <c r="C32" s="84">
        <f>SUM(C23:C31)</f>
        <v>43572</v>
      </c>
      <c r="D32" s="84">
        <f t="shared" ref="D32:G32" si="13">SUM(D23:D31)</f>
        <v>41229</v>
      </c>
      <c r="E32" s="84">
        <f t="shared" si="13"/>
        <v>48716</v>
      </c>
      <c r="F32" s="84">
        <f t="shared" si="13"/>
        <v>57979</v>
      </c>
      <c r="G32" s="84">
        <f t="shared" si="13"/>
        <v>56342</v>
      </c>
      <c r="H32" s="84">
        <f t="shared" ref="H32" ca="1" si="14">SUM(H23:H31)</f>
        <v>67706.350930958521</v>
      </c>
      <c r="I32" s="84">
        <f t="shared" ref="I32" ca="1" si="15">SUM(I23:I31)</f>
        <v>77199.431905899255</v>
      </c>
      <c r="J32" s="84">
        <f t="shared" ref="J32" ca="1" si="16">SUM(J23:J31)</f>
        <v>78231.112510904859</v>
      </c>
      <c r="K32" s="84">
        <f t="shared" ref="K32" ca="1" si="17">SUM(K23:K31)</f>
        <v>77929.45938173664</v>
      </c>
      <c r="L32" s="85">
        <f t="shared" ref="L32" ca="1" si="18">SUM(L23:L31)</f>
        <v>84542.406084440969</v>
      </c>
      <c r="O32" s="15"/>
      <c r="P32" s="14"/>
    </row>
    <row r="33" spans="2:18" ht="15" customHeight="1" x14ac:dyDescent="0.2">
      <c r="B33" s="19" t="s">
        <v>81</v>
      </c>
      <c r="C33" s="26">
        <v>12563</v>
      </c>
      <c r="D33" s="26">
        <v>11481</v>
      </c>
      <c r="E33" s="26">
        <v>10904</v>
      </c>
      <c r="F33" s="26">
        <v>10254</v>
      </c>
      <c r="G33" s="26">
        <v>9938</v>
      </c>
      <c r="H33" s="159">
        <f>Assumptions!L78*'Income Statement'!H38</f>
        <v>10802.02464781046</v>
      </c>
      <c r="I33" s="159">
        <f>Assumptions!M78*'Income Statement'!I38</f>
        <v>11647.550111766477</v>
      </c>
      <c r="J33" s="159">
        <f>Assumptions!N78*'Income Statement'!J38</f>
        <v>12330.963868171015</v>
      </c>
      <c r="K33" s="158">
        <f>Assumptions!O78*'Income Statement'!K38</f>
        <v>13136.000051403284</v>
      </c>
      <c r="L33" s="160">
        <f>Assumptions!P78*'Income Statement'!L38</f>
        <v>14229.383989971671</v>
      </c>
      <c r="O33" s="14"/>
      <c r="P33" s="14"/>
    </row>
    <row r="34" spans="2:18" ht="15" customHeight="1" x14ac:dyDescent="0.2">
      <c r="B34" s="19" t="s">
        <v>82</v>
      </c>
      <c r="C34" s="26">
        <v>8346</v>
      </c>
      <c r="D34" s="26">
        <v>7751</v>
      </c>
      <c r="E34" s="26">
        <v>7173</v>
      </c>
      <c r="F34" s="26">
        <v>6975</v>
      </c>
      <c r="G34" s="26">
        <v>7145</v>
      </c>
      <c r="H34" s="159">
        <f>Assumptions!L79*'Income Statement'!H38</f>
        <v>7715.7318912931851</v>
      </c>
      <c r="I34" s="159">
        <f>Assumptions!M79*'Income Statement'!I38</f>
        <v>8221.8000788939826</v>
      </c>
      <c r="J34" s="159">
        <f>Assumptions!N79*'Income Statement'!J38</f>
        <v>8594.3081505434347</v>
      </c>
      <c r="K34" s="158">
        <f>Assumptions!O79*'Income Statement'!K38</f>
        <v>9094.1538817407345</v>
      </c>
      <c r="L34" s="160">
        <f>Assumptions!P79*'Income Statement'!L38</f>
        <v>9851.1119930573095</v>
      </c>
      <c r="O34" s="14"/>
      <c r="P34" s="14"/>
    </row>
    <row r="35" spans="2:18" ht="15" customHeight="1" x14ac:dyDescent="0.2">
      <c r="B35" s="19" t="s">
        <v>83</v>
      </c>
      <c r="C35" s="26">
        <v>3762</v>
      </c>
      <c r="D35" s="26">
        <v>3142</v>
      </c>
      <c r="E35" s="26">
        <v>3441</v>
      </c>
      <c r="F35" s="26">
        <v>3215</v>
      </c>
      <c r="G35" s="26">
        <v>4238</v>
      </c>
      <c r="H35" s="159">
        <f>Assumptions!L80*'Income Statement'!H38</f>
        <v>4629.439134775911</v>
      </c>
      <c r="I35" s="159">
        <f>Assumptions!M80*'Income Statement'!I38</f>
        <v>5070.1100486512896</v>
      </c>
      <c r="J35" s="159">
        <f>Assumptions!N80*'Income Statement'!J38</f>
        <v>5418.1507905599919</v>
      </c>
      <c r="K35" s="158">
        <f>Assumptions!O80*'Income Statement'!K38</f>
        <v>5860.6769460106962</v>
      </c>
      <c r="L35" s="160">
        <f>Assumptions!P80*'Income Statement'!L38</f>
        <v>6348.4943955258223</v>
      </c>
      <c r="O35" s="14"/>
    </row>
    <row r="36" spans="2:18" ht="15" customHeight="1" x14ac:dyDescent="0.2">
      <c r="B36" s="19" t="s">
        <v>121</v>
      </c>
      <c r="C36" s="26">
        <v>31125</v>
      </c>
      <c r="D36" s="26">
        <v>28100</v>
      </c>
      <c r="E36" s="26">
        <v>28155</v>
      </c>
      <c r="F36" s="26">
        <v>28937</v>
      </c>
      <c r="H36" s="133"/>
      <c r="I36" s="120"/>
      <c r="J36" s="121"/>
      <c r="K36" s="133"/>
      <c r="L36" s="122"/>
      <c r="N36" s="26"/>
      <c r="O36" s="26"/>
      <c r="P36" s="26"/>
      <c r="Q36" s="26"/>
      <c r="R36" s="26"/>
    </row>
    <row r="37" spans="2:18" ht="15" customHeight="1" x14ac:dyDescent="0.2">
      <c r="B37" s="19" t="s">
        <v>118</v>
      </c>
      <c r="C37" s="616"/>
      <c r="D37" s="616"/>
      <c r="E37" s="616"/>
      <c r="F37" s="616"/>
      <c r="H37" s="619"/>
      <c r="I37" s="618"/>
      <c r="J37" s="121"/>
      <c r="K37" s="619"/>
      <c r="L37" s="617"/>
      <c r="N37" s="616"/>
      <c r="O37" s="615"/>
      <c r="P37" s="615"/>
    </row>
    <row r="38" spans="2:18" ht="15" customHeight="1" x14ac:dyDescent="0.2">
      <c r="B38" s="19" t="s">
        <v>175</v>
      </c>
      <c r="C38" s="616"/>
      <c r="D38" s="616"/>
      <c r="E38" s="616"/>
      <c r="F38" s="616"/>
      <c r="H38" s="619"/>
      <c r="I38" s="618"/>
      <c r="J38" s="121"/>
      <c r="K38" s="619"/>
      <c r="L38" s="617"/>
      <c r="N38" s="616"/>
      <c r="O38" s="615"/>
      <c r="P38" s="615"/>
    </row>
    <row r="39" spans="2:18" ht="15" customHeight="1" x14ac:dyDescent="0.2">
      <c r="B39" s="19" t="s">
        <v>122</v>
      </c>
      <c r="C39" s="616"/>
      <c r="D39" s="616"/>
      <c r="E39" s="616"/>
      <c r="F39" s="616"/>
      <c r="G39" s="622">
        <f>'Debt Schedule'!E34</f>
        <v>1481</v>
      </c>
      <c r="H39" s="622">
        <f>'Debt Schedule'!F34</f>
        <v>740.5</v>
      </c>
      <c r="I39" s="622">
        <f>'Debt Schedule'!G34</f>
        <v>0</v>
      </c>
      <c r="J39" s="622">
        <f>'Debt Schedule'!H34</f>
        <v>0</v>
      </c>
      <c r="K39" s="622">
        <f>'Debt Schedule'!I34</f>
        <v>0</v>
      </c>
      <c r="L39" s="623">
        <f>'Debt Schedule'!J34</f>
        <v>0</v>
      </c>
      <c r="N39" s="32"/>
      <c r="O39" s="615"/>
      <c r="P39" s="615"/>
    </row>
    <row r="40" spans="2:18" ht="15" customHeight="1" x14ac:dyDescent="0.2">
      <c r="B40" s="19" t="s">
        <v>380</v>
      </c>
      <c r="C40" s="616"/>
      <c r="D40" s="616"/>
      <c r="E40" s="616"/>
      <c r="F40" s="616"/>
      <c r="G40" s="622">
        <f>'Debt Schedule'!E42</f>
        <v>260</v>
      </c>
      <c r="H40" s="622">
        <f>'Debt Schedule'!F42</f>
        <v>130</v>
      </c>
      <c r="I40" s="622">
        <f>'Debt Schedule'!G42</f>
        <v>0</v>
      </c>
      <c r="J40" s="622">
        <f>'Debt Schedule'!H42</f>
        <v>0</v>
      </c>
      <c r="K40" s="622">
        <f>'Debt Schedule'!I42</f>
        <v>0</v>
      </c>
      <c r="L40" s="623">
        <f>'Debt Schedule'!J42</f>
        <v>0</v>
      </c>
      <c r="O40" s="615"/>
      <c r="P40" s="615"/>
    </row>
    <row r="41" spans="2:18" ht="15" customHeight="1" x14ac:dyDescent="0.2">
      <c r="B41" s="19" t="s">
        <v>124</v>
      </c>
      <c r="C41" s="616"/>
      <c r="D41" s="616"/>
      <c r="E41" s="616"/>
      <c r="F41" s="616"/>
      <c r="G41" s="622">
        <f>'Debt Schedule'!E50</f>
        <v>599</v>
      </c>
      <c r="H41" s="622">
        <f>'Debt Schedule'!F50</f>
        <v>299.5</v>
      </c>
      <c r="I41" s="622">
        <f>'Debt Schedule'!G50</f>
        <v>0</v>
      </c>
      <c r="J41" s="622">
        <f>'Debt Schedule'!H50</f>
        <v>0</v>
      </c>
      <c r="K41" s="622">
        <f>'Debt Schedule'!I50</f>
        <v>0</v>
      </c>
      <c r="L41" s="623">
        <f>'Debt Schedule'!J50</f>
        <v>0</v>
      </c>
      <c r="O41" s="615"/>
      <c r="P41" s="615"/>
    </row>
    <row r="42" spans="2:18" ht="15" customHeight="1" x14ac:dyDescent="0.2">
      <c r="B42" s="19" t="s">
        <v>125</v>
      </c>
      <c r="C42" s="616"/>
      <c r="D42" s="616"/>
      <c r="E42" s="616"/>
      <c r="F42" s="616"/>
      <c r="G42" s="622">
        <f>'Debt Schedule'!E58</f>
        <v>3792</v>
      </c>
      <c r="H42" s="622">
        <f>'Debt Schedule'!F58</f>
        <v>2528</v>
      </c>
      <c r="I42" s="622">
        <f>'Debt Schedule'!G58</f>
        <v>1264</v>
      </c>
      <c r="J42" s="622">
        <f>'Debt Schedule'!H58</f>
        <v>0</v>
      </c>
      <c r="K42" s="622">
        <f>'Debt Schedule'!I58</f>
        <v>0</v>
      </c>
      <c r="L42" s="623">
        <f>'Debt Schedule'!J58</f>
        <v>0</v>
      </c>
      <c r="O42" s="615"/>
      <c r="P42" s="615"/>
    </row>
    <row r="43" spans="2:18" ht="15" customHeight="1" x14ac:dyDescent="0.2">
      <c r="B43" s="19" t="s">
        <v>126</v>
      </c>
      <c r="C43" s="26"/>
      <c r="D43" s="26"/>
      <c r="E43" s="26"/>
      <c r="F43" s="26"/>
      <c r="G43" s="622">
        <f>'Debt Schedule'!E66</f>
        <v>996</v>
      </c>
      <c r="H43" s="622">
        <f>'Debt Schedule'!F66</f>
        <v>747</v>
      </c>
      <c r="I43" s="622">
        <f>'Debt Schedule'!G66</f>
        <v>498</v>
      </c>
      <c r="J43" s="622">
        <f>'Debt Schedule'!H66</f>
        <v>249</v>
      </c>
      <c r="K43" s="622">
        <f>'Debt Schedule'!I66</f>
        <v>0</v>
      </c>
      <c r="L43" s="623">
        <f>'Debt Schedule'!J66</f>
        <v>0</v>
      </c>
      <c r="O43" s="14"/>
      <c r="P43" s="14"/>
    </row>
    <row r="44" spans="2:18" ht="15" customHeight="1" x14ac:dyDescent="0.2">
      <c r="B44" s="19" t="s">
        <v>127</v>
      </c>
      <c r="C44" s="616"/>
      <c r="D44" s="616"/>
      <c r="E44" s="616"/>
      <c r="F44" s="616"/>
      <c r="G44" s="622">
        <f>'Debt Schedule'!E74</f>
        <v>1406</v>
      </c>
      <c r="H44" s="622">
        <f>'Debt Schedule'!F74</f>
        <v>1124.8</v>
      </c>
      <c r="I44" s="622">
        <f>'Debt Schedule'!G74</f>
        <v>843.59999999999991</v>
      </c>
      <c r="J44" s="622">
        <f>'Debt Schedule'!H74</f>
        <v>562.39999999999986</v>
      </c>
      <c r="K44" s="622">
        <f>'Debt Schedule'!I74</f>
        <v>281.19999999999987</v>
      </c>
      <c r="L44" s="623">
        <f>'Debt Schedule'!J74</f>
        <v>0</v>
      </c>
      <c r="O44" s="615"/>
      <c r="P44" s="615"/>
    </row>
    <row r="45" spans="2:18" ht="15" customHeight="1" x14ac:dyDescent="0.2">
      <c r="B45" s="19" t="s">
        <v>128</v>
      </c>
      <c r="C45" s="26"/>
      <c r="D45" s="26"/>
      <c r="E45" s="26"/>
      <c r="F45" s="26"/>
      <c r="G45" s="622">
        <f>'Debt Schedule'!E82</f>
        <v>993</v>
      </c>
      <c r="H45" s="622">
        <f>'Debt Schedule'!F82</f>
        <v>794.4</v>
      </c>
      <c r="I45" s="622">
        <f>'Debt Schedule'!G82</f>
        <v>595.79999999999995</v>
      </c>
      <c r="J45" s="622">
        <f>'Debt Schedule'!H82</f>
        <v>397.19999999999993</v>
      </c>
      <c r="K45" s="622">
        <f>'Debt Schedule'!I82</f>
        <v>198.59999999999994</v>
      </c>
      <c r="L45" s="623">
        <f>'Debt Schedule'!J82</f>
        <v>0</v>
      </c>
      <c r="O45" s="14"/>
      <c r="P45" s="14"/>
    </row>
    <row r="46" spans="2:18" ht="15" customHeight="1" x14ac:dyDescent="0.2">
      <c r="B46" s="19" t="s">
        <v>129</v>
      </c>
      <c r="C46" s="26"/>
      <c r="D46" s="26"/>
      <c r="E46" s="26"/>
      <c r="F46" s="26"/>
      <c r="G46" s="622">
        <f>'Debt Schedule'!E90</f>
        <v>1420</v>
      </c>
      <c r="H46" s="622">
        <f>'Debt Schedule'!F90</f>
        <v>1183.3333333333333</v>
      </c>
      <c r="I46" s="622">
        <f>'Debt Schedule'!G90</f>
        <v>946.66666666666663</v>
      </c>
      <c r="J46" s="622">
        <f>'Debt Schedule'!H90</f>
        <v>710</v>
      </c>
      <c r="K46" s="622">
        <f>'Debt Schedule'!I90</f>
        <v>473.33333333333337</v>
      </c>
      <c r="L46" s="623">
        <f>'Debt Schedule'!J90</f>
        <v>236.66666666666671</v>
      </c>
      <c r="O46" s="14"/>
      <c r="P46" s="14"/>
    </row>
    <row r="47" spans="2:18" ht="15" customHeight="1" x14ac:dyDescent="0.2">
      <c r="B47" s="19" t="s">
        <v>130</v>
      </c>
      <c r="C47" s="26"/>
      <c r="D47" s="26"/>
      <c r="E47" s="26"/>
      <c r="F47" s="26"/>
      <c r="G47" s="622">
        <f>'Debt Schedule'!E98</f>
        <v>750</v>
      </c>
      <c r="H47" s="622">
        <f>'Debt Schedule'!F98</f>
        <v>625</v>
      </c>
      <c r="I47" s="622">
        <f>'Debt Schedule'!G98</f>
        <v>500</v>
      </c>
      <c r="J47" s="622">
        <f>'Debt Schedule'!H98</f>
        <v>375</v>
      </c>
      <c r="K47" s="622">
        <f>'Debt Schedule'!I98</f>
        <v>250</v>
      </c>
      <c r="L47" s="623">
        <f>'Debt Schedule'!J98</f>
        <v>125</v>
      </c>
      <c r="O47" s="14"/>
      <c r="P47" s="14"/>
    </row>
    <row r="48" spans="2:18" ht="15" customHeight="1" x14ac:dyDescent="0.2">
      <c r="B48" s="19" t="s">
        <v>131</v>
      </c>
      <c r="C48" s="26"/>
      <c r="D48" s="26"/>
      <c r="E48" s="26"/>
      <c r="F48" s="26"/>
      <c r="G48" s="622">
        <f>'Debt Schedule'!E106</f>
        <v>1243</v>
      </c>
      <c r="H48" s="622">
        <f>'Debt Schedule'!F106</f>
        <v>1065.4285714285713</v>
      </c>
      <c r="I48" s="622">
        <f>'Debt Schedule'!G106</f>
        <v>887.85714285714278</v>
      </c>
      <c r="J48" s="622">
        <f>'Debt Schedule'!H106</f>
        <v>710.28571428571422</v>
      </c>
      <c r="K48" s="622">
        <f>'Debt Schedule'!I106</f>
        <v>532.71428571428567</v>
      </c>
      <c r="L48" s="623">
        <f>'Debt Schedule'!J106</f>
        <v>355.14285714285711</v>
      </c>
      <c r="O48" s="14"/>
      <c r="P48" s="14"/>
    </row>
    <row r="49" spans="2:16" ht="15" customHeight="1" x14ac:dyDescent="0.2">
      <c r="B49" s="19" t="s">
        <v>132</v>
      </c>
      <c r="C49" s="26"/>
      <c r="D49" s="26"/>
      <c r="E49" s="26"/>
      <c r="F49" s="26"/>
      <c r="G49" s="622">
        <f>'Debt Schedule'!E114</f>
        <v>45</v>
      </c>
      <c r="H49" s="622">
        <f>'Debt Schedule'!F114</f>
        <v>39.375</v>
      </c>
      <c r="I49" s="622">
        <f>'Debt Schedule'!G114</f>
        <v>33.75</v>
      </c>
      <c r="J49" s="622">
        <f>'Debt Schedule'!H114</f>
        <v>28.125</v>
      </c>
      <c r="K49" s="622">
        <f>'Debt Schedule'!I114</f>
        <v>22.5</v>
      </c>
      <c r="L49" s="623">
        <f>'Debt Schedule'!J114</f>
        <v>16.875</v>
      </c>
      <c r="O49" s="14"/>
      <c r="P49" s="14"/>
    </row>
    <row r="50" spans="2:16" ht="15" customHeight="1" x14ac:dyDescent="0.2">
      <c r="B50" s="19" t="s">
        <v>133</v>
      </c>
      <c r="C50" s="26"/>
      <c r="D50" s="26"/>
      <c r="E50" s="26"/>
      <c r="F50" s="26"/>
      <c r="G50" s="622">
        <f>'Debt Schedule'!E122</f>
        <v>796</v>
      </c>
      <c r="H50" s="622">
        <f>'Debt Schedule'!F122</f>
        <v>696.5</v>
      </c>
      <c r="I50" s="622">
        <f>'Debt Schedule'!G122</f>
        <v>597</v>
      </c>
      <c r="J50" s="622">
        <f>'Debt Schedule'!H122</f>
        <v>497.5</v>
      </c>
      <c r="K50" s="622">
        <f>'Debt Schedule'!I122</f>
        <v>398</v>
      </c>
      <c r="L50" s="623">
        <f>'Debt Schedule'!J122</f>
        <v>298.5</v>
      </c>
      <c r="O50" s="14"/>
      <c r="P50" s="14"/>
    </row>
    <row r="51" spans="2:16" ht="15" customHeight="1" x14ac:dyDescent="0.2">
      <c r="B51" s="19" t="s">
        <v>134</v>
      </c>
      <c r="C51" s="26"/>
      <c r="D51" s="26"/>
      <c r="E51" s="26"/>
      <c r="F51" s="26"/>
      <c r="G51" s="622">
        <f>'Debt Schedule'!E130</f>
        <v>1250</v>
      </c>
      <c r="H51" s="622">
        <f>'Debt Schedule'!F130</f>
        <v>1111.1111111111111</v>
      </c>
      <c r="I51" s="622">
        <f>'Debt Schedule'!G130</f>
        <v>972.22222222222217</v>
      </c>
      <c r="J51" s="622">
        <f>'Debt Schedule'!H130</f>
        <v>833.33333333333326</v>
      </c>
      <c r="K51" s="622">
        <f>'Debt Schedule'!I130</f>
        <v>694.44444444444434</v>
      </c>
      <c r="L51" s="623">
        <f>'Debt Schedule'!J130</f>
        <v>555.55555555555543</v>
      </c>
      <c r="O51" s="14"/>
      <c r="P51" s="14"/>
    </row>
    <row r="52" spans="2:16" ht="15" customHeight="1" x14ac:dyDescent="0.2">
      <c r="B52" s="19" t="s">
        <v>135</v>
      </c>
      <c r="C52" s="26"/>
      <c r="D52" s="26"/>
      <c r="E52" s="26"/>
      <c r="F52" s="26"/>
      <c r="G52" s="622">
        <f>'Debt Schedule'!E138</f>
        <v>1488</v>
      </c>
      <c r="H52" s="622">
        <f>'Debt Schedule'!F138</f>
        <v>1352.7272727272727</v>
      </c>
      <c r="I52" s="622">
        <f>'Debt Schedule'!G138</f>
        <v>1217.4545454545455</v>
      </c>
      <c r="J52" s="622">
        <f>'Debt Schedule'!H138</f>
        <v>1082.1818181818182</v>
      </c>
      <c r="K52" s="622">
        <f>'Debt Schedule'!I138</f>
        <v>946.90909090909099</v>
      </c>
      <c r="L52" s="623">
        <f>'Debt Schedule'!J138</f>
        <v>811.63636363636374</v>
      </c>
      <c r="O52" s="14"/>
      <c r="P52" s="14"/>
    </row>
    <row r="53" spans="2:16" ht="15" customHeight="1" x14ac:dyDescent="0.2">
      <c r="B53" s="19" t="s">
        <v>136</v>
      </c>
      <c r="C53" s="26"/>
      <c r="D53" s="26"/>
      <c r="E53" s="26"/>
      <c r="F53" s="26"/>
      <c r="G53" s="622">
        <f>'Debt Schedule'!E146</f>
        <v>190</v>
      </c>
      <c r="H53" s="622">
        <f>'Debt Schedule'!F146</f>
        <v>172.72727272727272</v>
      </c>
      <c r="I53" s="622">
        <f>'Debt Schedule'!G146</f>
        <v>155.45454545454544</v>
      </c>
      <c r="J53" s="622">
        <f>'Debt Schedule'!H146</f>
        <v>138.18181818181816</v>
      </c>
      <c r="K53" s="622">
        <f>'Debt Schedule'!I146</f>
        <v>120.90909090909088</v>
      </c>
      <c r="L53" s="623">
        <f>'Debt Schedule'!J146</f>
        <v>103.6363636363636</v>
      </c>
      <c r="O53" s="14"/>
      <c r="P53" s="14"/>
    </row>
    <row r="54" spans="2:16" ht="15" customHeight="1" x14ac:dyDescent="0.2">
      <c r="B54" s="19" t="s">
        <v>137</v>
      </c>
      <c r="C54" s="26"/>
      <c r="D54" s="26"/>
      <c r="E54" s="26"/>
      <c r="F54" s="26"/>
      <c r="G54" s="622">
        <f>'Debt Schedule'!E154</f>
        <v>2194</v>
      </c>
      <c r="H54" s="622">
        <f>'Debt Schedule'!F154</f>
        <v>2025.2307692307693</v>
      </c>
      <c r="I54" s="622">
        <f>'Debt Schedule'!G154</f>
        <v>1856.4615384615386</v>
      </c>
      <c r="J54" s="622">
        <f>'Debt Schedule'!H154</f>
        <v>1687.6923076923078</v>
      </c>
      <c r="K54" s="622">
        <f>'Debt Schedule'!I154</f>
        <v>1518.9230769230771</v>
      </c>
      <c r="L54" s="623">
        <f>'Debt Schedule'!J154</f>
        <v>1350.1538461538464</v>
      </c>
      <c r="O54" s="14"/>
      <c r="P54" s="14"/>
    </row>
    <row r="55" spans="2:16" ht="15" customHeight="1" x14ac:dyDescent="0.2">
      <c r="B55" s="19" t="s">
        <v>138</v>
      </c>
      <c r="C55" s="26"/>
      <c r="D55" s="26"/>
      <c r="E55" s="26"/>
      <c r="F55" s="26"/>
      <c r="G55" s="622">
        <f>'Debt Schedule'!E162</f>
        <v>748</v>
      </c>
      <c r="H55" s="622">
        <f>'Debt Schedule'!F162</f>
        <v>698.13333333333333</v>
      </c>
      <c r="I55" s="622">
        <f>'Debt Schedule'!G162</f>
        <v>648.26666666666665</v>
      </c>
      <c r="J55" s="622">
        <f>'Debt Schedule'!H162</f>
        <v>598.4</v>
      </c>
      <c r="K55" s="622">
        <f>'Debt Schedule'!I162</f>
        <v>548.5333333333333</v>
      </c>
      <c r="L55" s="623">
        <f>'Debt Schedule'!J162</f>
        <v>498.66666666666663</v>
      </c>
      <c r="O55" s="14"/>
      <c r="P55" s="14"/>
    </row>
    <row r="56" spans="2:16" ht="15" customHeight="1" x14ac:dyDescent="0.2">
      <c r="B56" s="19" t="s">
        <v>139</v>
      </c>
      <c r="C56" s="26"/>
      <c r="D56" s="26"/>
      <c r="E56" s="26"/>
      <c r="F56" s="26"/>
      <c r="G56" s="622">
        <f>'Debt Schedule'!E170</f>
        <v>119</v>
      </c>
      <c r="H56" s="622">
        <f>'Debt Schedule'!F170</f>
        <v>111.5625</v>
      </c>
      <c r="I56" s="622">
        <f>'Debt Schedule'!G170</f>
        <v>104.125</v>
      </c>
      <c r="J56" s="622">
        <f>'Debt Schedule'!H170</f>
        <v>96.6875</v>
      </c>
      <c r="K56" s="622">
        <f>'Debt Schedule'!I170</f>
        <v>89.25</v>
      </c>
      <c r="L56" s="623">
        <f>'Debt Schedule'!J170</f>
        <v>81.8125</v>
      </c>
      <c r="O56" s="14"/>
      <c r="P56" s="14"/>
    </row>
    <row r="57" spans="2:16" ht="15" customHeight="1" x14ac:dyDescent="0.2">
      <c r="B57" s="19" t="s">
        <v>140</v>
      </c>
      <c r="C57" s="26"/>
      <c r="D57" s="26"/>
      <c r="E57" s="26"/>
      <c r="F57" s="26"/>
      <c r="G57" s="622">
        <f>'Debt Schedule'!E178</f>
        <v>484</v>
      </c>
      <c r="H57" s="622">
        <f>'Debt Schedule'!F178</f>
        <v>453.75</v>
      </c>
      <c r="I57" s="622">
        <f>'Debt Schedule'!G178</f>
        <v>423.5</v>
      </c>
      <c r="J57" s="622">
        <f>'Debt Schedule'!H178</f>
        <v>393.25</v>
      </c>
      <c r="K57" s="622">
        <f>'Debt Schedule'!I178</f>
        <v>363</v>
      </c>
      <c r="L57" s="623">
        <f>'Debt Schedule'!J178</f>
        <v>332.75</v>
      </c>
      <c r="O57" s="14"/>
      <c r="P57" s="14"/>
    </row>
    <row r="58" spans="2:16" ht="15" customHeight="1" x14ac:dyDescent="0.2">
      <c r="B58" s="19" t="s">
        <v>141</v>
      </c>
      <c r="C58" s="26"/>
      <c r="D58" s="26"/>
      <c r="E58" s="26"/>
      <c r="F58" s="26"/>
      <c r="G58" s="622">
        <f>'Debt Schedule'!E186</f>
        <v>315</v>
      </c>
      <c r="H58" s="622">
        <f>'Debt Schedule'!F186</f>
        <v>296.47058823529414</v>
      </c>
      <c r="I58" s="622">
        <f>'Debt Schedule'!G186</f>
        <v>277.94117647058829</v>
      </c>
      <c r="J58" s="622">
        <f>'Debt Schedule'!H186</f>
        <v>259.41176470588243</v>
      </c>
      <c r="K58" s="622">
        <f>'Debt Schedule'!I186</f>
        <v>240.88235294117655</v>
      </c>
      <c r="L58" s="623">
        <f>'Debt Schedule'!J186</f>
        <v>222.35294117647067</v>
      </c>
      <c r="O58" s="14"/>
      <c r="P58" s="14"/>
    </row>
    <row r="59" spans="2:16" ht="15" customHeight="1" x14ac:dyDescent="0.2">
      <c r="B59" s="19" t="s">
        <v>142</v>
      </c>
      <c r="C59" s="26"/>
      <c r="D59" s="26"/>
      <c r="E59" s="26"/>
      <c r="F59" s="26"/>
      <c r="G59" s="622">
        <f>'Debt Schedule'!E194</f>
        <v>1469</v>
      </c>
      <c r="H59" s="622">
        <f>'Debt Schedule'!F194</f>
        <v>1399.047619047619</v>
      </c>
      <c r="I59" s="622">
        <f>'Debt Schedule'!G194</f>
        <v>1329.0952380952381</v>
      </c>
      <c r="J59" s="622">
        <f>'Debt Schedule'!H194</f>
        <v>1259.1428571428571</v>
      </c>
      <c r="K59" s="622">
        <f>'Debt Schedule'!I194</f>
        <v>1189.1904761904761</v>
      </c>
      <c r="L59" s="623">
        <f>'Debt Schedule'!J194</f>
        <v>1119.2380952380952</v>
      </c>
      <c r="O59" s="14"/>
      <c r="P59" s="14"/>
    </row>
    <row r="60" spans="2:16" ht="15" customHeight="1" x14ac:dyDescent="0.2">
      <c r="B60" s="19" t="s">
        <v>143</v>
      </c>
      <c r="C60" s="26"/>
      <c r="D60" s="26"/>
      <c r="E60" s="26"/>
      <c r="F60" s="26"/>
      <c r="G60" s="622">
        <f>'Debt Schedule'!E202</f>
        <v>990</v>
      </c>
      <c r="H60" s="622">
        <f>'Debt Schedule'!F202</f>
        <v>945</v>
      </c>
      <c r="I60" s="622">
        <f>'Debt Schedule'!G202</f>
        <v>900</v>
      </c>
      <c r="J60" s="622">
        <f>'Debt Schedule'!H202</f>
        <v>855</v>
      </c>
      <c r="K60" s="622">
        <f>'Debt Schedule'!I202</f>
        <v>810</v>
      </c>
      <c r="L60" s="623">
        <f>'Debt Schedule'!J202</f>
        <v>765</v>
      </c>
      <c r="O60" s="14"/>
      <c r="P60" s="14"/>
    </row>
    <row r="61" spans="2:16" ht="15" customHeight="1" x14ac:dyDescent="0.2">
      <c r="B61" s="19" t="s">
        <v>144</v>
      </c>
      <c r="C61" s="26"/>
      <c r="D61" s="26"/>
      <c r="E61" s="26"/>
      <c r="F61" s="26"/>
      <c r="G61" s="622">
        <f>'Debt Schedule'!E210</f>
        <v>2972</v>
      </c>
      <c r="H61" s="622">
        <f>'Debt Schedule'!F210</f>
        <v>2842.782608695652</v>
      </c>
      <c r="I61" s="622">
        <f>'Debt Schedule'!G210</f>
        <v>2713.565217391304</v>
      </c>
      <c r="J61" s="622">
        <f>'Debt Schedule'!H210</f>
        <v>2584.347826086956</v>
      </c>
      <c r="K61" s="622">
        <f>'Debt Schedule'!I210</f>
        <v>2455.1304347826081</v>
      </c>
      <c r="L61" s="623">
        <f>'Debt Schedule'!J210</f>
        <v>2325.9130434782601</v>
      </c>
      <c r="O61" s="14"/>
      <c r="P61" s="14"/>
    </row>
    <row r="62" spans="2:16" ht="15" customHeight="1" x14ac:dyDescent="0.2">
      <c r="B62" s="19" t="s">
        <v>145</v>
      </c>
      <c r="C62" s="26"/>
      <c r="D62" s="26"/>
      <c r="E62" s="26"/>
      <c r="F62" s="26"/>
      <c r="G62" s="622">
        <f>'Debt Schedule'!E218</f>
        <v>1172</v>
      </c>
      <c r="H62" s="622">
        <f>'Debt Schedule'!F218</f>
        <v>1125.1199999999999</v>
      </c>
      <c r="I62" s="622">
        <f>'Debt Schedule'!G218</f>
        <v>1078.2399999999998</v>
      </c>
      <c r="J62" s="622">
        <f>'Debt Schedule'!H218</f>
        <v>1031.3599999999997</v>
      </c>
      <c r="K62" s="622">
        <f>'Debt Schedule'!I218</f>
        <v>984.47999999999968</v>
      </c>
      <c r="L62" s="623">
        <f>'Debt Schedule'!J218</f>
        <v>937.59999999999968</v>
      </c>
      <c r="O62" s="14"/>
      <c r="P62" s="14"/>
    </row>
    <row r="63" spans="2:16" ht="15" customHeight="1" x14ac:dyDescent="0.2">
      <c r="B63" s="19" t="s">
        <v>146</v>
      </c>
      <c r="C63" s="26"/>
      <c r="D63" s="26"/>
      <c r="E63" s="26"/>
      <c r="F63" s="26"/>
      <c r="G63" s="622">
        <f>'Debt Schedule'!E226</f>
        <v>1410</v>
      </c>
      <c r="H63" s="622">
        <f>'Debt Schedule'!F226</f>
        <v>1355.7692307692307</v>
      </c>
      <c r="I63" s="622">
        <f>'Debt Schedule'!G226</f>
        <v>1301.5384615384614</v>
      </c>
      <c r="J63" s="622">
        <f>'Debt Schedule'!H226</f>
        <v>1247.3076923076922</v>
      </c>
      <c r="K63" s="622">
        <f>'Debt Schedule'!I226</f>
        <v>1193.0769230769229</v>
      </c>
      <c r="L63" s="623">
        <f>'Debt Schedule'!J226</f>
        <v>1138.8461538461536</v>
      </c>
      <c r="O63" s="14"/>
      <c r="P63" s="14"/>
    </row>
    <row r="64" spans="2:16" ht="15" customHeight="1" x14ac:dyDescent="0.2">
      <c r="B64" s="19" t="s">
        <v>147</v>
      </c>
      <c r="C64" s="26"/>
      <c r="D64" s="26"/>
      <c r="E64" s="26"/>
      <c r="F64" s="26"/>
      <c r="G64" s="622">
        <f>'Debt Schedule'!E234</f>
        <v>1486</v>
      </c>
      <c r="H64" s="622">
        <f>'Debt Schedule'!F234</f>
        <v>1434.7586206896551</v>
      </c>
      <c r="I64" s="622">
        <f>'Debt Schedule'!G234</f>
        <v>1383.5172413793102</v>
      </c>
      <c r="J64" s="622">
        <f>'Debt Schedule'!H234</f>
        <v>1332.2758620689654</v>
      </c>
      <c r="K64" s="622">
        <f>'Debt Schedule'!I234</f>
        <v>1281.0344827586205</v>
      </c>
      <c r="L64" s="623">
        <f>'Debt Schedule'!J234</f>
        <v>1229.7931034482756</v>
      </c>
      <c r="O64" s="14"/>
      <c r="P64" s="14"/>
    </row>
    <row r="65" spans="1:16" ht="15" customHeight="1" x14ac:dyDescent="0.2">
      <c r="B65" s="19" t="s">
        <v>148</v>
      </c>
      <c r="C65" s="26"/>
      <c r="D65" s="26"/>
      <c r="E65" s="26"/>
      <c r="F65" s="26"/>
      <c r="G65" s="622">
        <f>'Debt Schedule'!E242</f>
        <v>735</v>
      </c>
      <c r="H65" s="622">
        <f>'Debt Schedule'!F242</f>
        <v>711.29032258064512</v>
      </c>
      <c r="I65" s="622">
        <f>'Debt Schedule'!G242</f>
        <v>687.58064516129025</v>
      </c>
      <c r="J65" s="622">
        <f>'Debt Schedule'!H242</f>
        <v>663.87096774193537</v>
      </c>
      <c r="K65" s="622">
        <f>'Debt Schedule'!I242</f>
        <v>640.1612903225805</v>
      </c>
      <c r="L65" s="623">
        <f>'Debt Schedule'!J242</f>
        <v>616.45161290322562</v>
      </c>
      <c r="O65" s="14"/>
      <c r="P65" s="14"/>
    </row>
    <row r="66" spans="1:16" ht="15" customHeight="1" x14ac:dyDescent="0.2">
      <c r="B66" s="19" t="s">
        <v>119</v>
      </c>
      <c r="C66" s="26"/>
      <c r="D66" s="26"/>
      <c r="E66" s="26"/>
      <c r="F66" s="26"/>
      <c r="G66" s="622">
        <f>'Debt Schedule'!E254</f>
        <v>68</v>
      </c>
      <c r="H66" s="622">
        <f>'Debt Schedule'!F254</f>
        <v>65</v>
      </c>
      <c r="I66" s="622">
        <f>'Debt Schedule'!G254</f>
        <v>62</v>
      </c>
      <c r="J66" s="622">
        <f>'Debt Schedule'!H254</f>
        <v>59</v>
      </c>
      <c r="K66" s="622">
        <f>'Debt Schedule'!I254</f>
        <v>56</v>
      </c>
      <c r="L66" s="623">
        <f>'Debt Schedule'!J254</f>
        <v>53</v>
      </c>
      <c r="N66" s="32"/>
      <c r="O66" s="14"/>
      <c r="P66" s="14"/>
    </row>
    <row r="67" spans="1:16" ht="15" customHeight="1" x14ac:dyDescent="0.2">
      <c r="B67" s="19" t="s">
        <v>84</v>
      </c>
      <c r="C67" s="26">
        <v>8337</v>
      </c>
      <c r="D67" s="26">
        <v>7278</v>
      </c>
      <c r="E67" s="26">
        <v>7430</v>
      </c>
      <c r="F67" s="26">
        <v>7278</v>
      </c>
      <c r="G67" s="26">
        <v>7511</v>
      </c>
      <c r="H67" s="159">
        <f>Assumptions!L81*'Income Statement'!H38</f>
        <v>8178.6758047707754</v>
      </c>
      <c r="I67" s="159">
        <f>Assumptions!M81*'Income Statement'!I38</f>
        <v>8906.9500854684811</v>
      </c>
      <c r="J67" s="159">
        <f>Assumptions!N81*'Income Statement'!J38</f>
        <v>9528.4720799503284</v>
      </c>
      <c r="K67" s="158">
        <f>Assumptions!O81*'Income Statement'!K38</f>
        <v>10104.615424156373</v>
      </c>
      <c r="L67" s="160">
        <f>Assumptions!P81*'Income Statement'!L38</f>
        <v>10945.679992285901</v>
      </c>
      <c r="N67" s="32"/>
      <c r="O67" s="14"/>
      <c r="P67" s="14"/>
    </row>
    <row r="68" spans="1:16" ht="15" customHeight="1" x14ac:dyDescent="0.2">
      <c r="B68" s="19" t="s">
        <v>85</v>
      </c>
      <c r="C68" s="26">
        <v>0</v>
      </c>
      <c r="D68" s="26">
        <v>0</v>
      </c>
      <c r="E68" s="26">
        <v>591</v>
      </c>
      <c r="F68" s="26">
        <v>0</v>
      </c>
      <c r="G68" s="26">
        <v>0</v>
      </c>
      <c r="H68" s="159">
        <f>Assumptions!L82*'Income Statement'!H38</f>
        <v>0</v>
      </c>
      <c r="I68" s="159">
        <f>Assumptions!M82*'Income Statement'!I38</f>
        <v>0</v>
      </c>
      <c r="J68" s="159">
        <f>Assumptions!N82*'Income Statement'!J38</f>
        <v>0</v>
      </c>
      <c r="K68" s="159">
        <f>Assumptions!O82*'Income Statement'!K38</f>
        <v>0</v>
      </c>
      <c r="L68" s="160">
        <f>Assumptions!P82*'Income Statement'!L38</f>
        <v>0</v>
      </c>
      <c r="O68" s="4"/>
      <c r="P68" s="4"/>
    </row>
    <row r="69" spans="1:16" ht="15" customHeight="1" thickBot="1" x14ac:dyDescent="0.25">
      <c r="A69" t="s">
        <v>21</v>
      </c>
      <c r="B69" s="83" t="s">
        <v>149</v>
      </c>
      <c r="C69" s="84">
        <f t="shared" ref="C69:L69" si="19">SUM(C32:C68)</f>
        <v>107705</v>
      </c>
      <c r="D69" s="84">
        <f t="shared" si="19"/>
        <v>98981</v>
      </c>
      <c r="E69" s="84">
        <f t="shared" si="19"/>
        <v>106410</v>
      </c>
      <c r="F69" s="84">
        <f t="shared" si="19"/>
        <v>114638</v>
      </c>
      <c r="G69" s="84">
        <f t="shared" si="19"/>
        <v>116045</v>
      </c>
      <c r="H69" s="84">
        <f t="shared" ca="1" si="19"/>
        <v>125106.5405635186</v>
      </c>
      <c r="I69" s="84">
        <f t="shared" ca="1" si="19"/>
        <v>132323.47853849901</v>
      </c>
      <c r="J69" s="84">
        <f t="shared" ca="1" si="19"/>
        <v>131753.96186185893</v>
      </c>
      <c r="K69" s="84">
        <f t="shared" ca="1" si="19"/>
        <v>131413.17830068676</v>
      </c>
      <c r="L69" s="85">
        <f t="shared" ca="1" si="19"/>
        <v>139091.66722483048</v>
      </c>
      <c r="O69" s="14"/>
      <c r="P69" s="14"/>
    </row>
    <row r="70" spans="1:16" ht="15" customHeight="1" x14ac:dyDescent="0.2">
      <c r="B70" s="62" t="s">
        <v>86</v>
      </c>
      <c r="C70" s="81"/>
      <c r="D70" s="81"/>
      <c r="E70" s="81"/>
      <c r="F70" s="81"/>
      <c r="G70" s="82"/>
      <c r="H70" s="134"/>
      <c r="I70" s="126"/>
      <c r="J70" s="127"/>
      <c r="K70" s="134"/>
      <c r="L70" s="128"/>
      <c r="O70" s="13"/>
      <c r="P70" s="13"/>
    </row>
    <row r="71" spans="1:16" ht="15" customHeight="1" x14ac:dyDescent="0.2">
      <c r="B71" s="19" t="s">
        <v>87</v>
      </c>
      <c r="C71" s="26">
        <v>54</v>
      </c>
      <c r="D71" s="26">
        <v>66</v>
      </c>
      <c r="E71" s="26">
        <v>107</v>
      </c>
      <c r="F71" s="28">
        <v>0</v>
      </c>
      <c r="G71" s="28">
        <v>0</v>
      </c>
      <c r="H71" s="123">
        <f>Assumptions!L85</f>
        <v>0</v>
      </c>
      <c r="I71" s="124">
        <f>Assumptions!M85</f>
        <v>0</v>
      </c>
      <c r="J71" s="124">
        <f>Assumptions!N85</f>
        <v>0</v>
      </c>
      <c r="K71" s="123">
        <f>Assumptions!O85</f>
        <v>0</v>
      </c>
      <c r="L71" s="125">
        <f>Assumptions!P85</f>
        <v>0</v>
      </c>
      <c r="O71" s="14"/>
      <c r="P71" s="14"/>
    </row>
    <row r="72" spans="1:16" ht="15" customHeight="1" x14ac:dyDescent="0.2">
      <c r="B72" s="19" t="s">
        <v>88</v>
      </c>
      <c r="C72" s="26">
        <v>4</v>
      </c>
      <c r="D72" s="26">
        <v>4</v>
      </c>
      <c r="E72" s="26">
        <v>4</v>
      </c>
      <c r="F72" s="26">
        <v>4</v>
      </c>
      <c r="G72" s="26">
        <v>4</v>
      </c>
      <c r="H72" s="123">
        <f>Assumptions!L86</f>
        <v>4</v>
      </c>
      <c r="I72" s="124">
        <f>Assumptions!M86</f>
        <v>4</v>
      </c>
      <c r="J72" s="124">
        <f>Assumptions!N86</f>
        <v>4</v>
      </c>
      <c r="K72" s="123">
        <f>Assumptions!O86</f>
        <v>4</v>
      </c>
      <c r="L72" s="125">
        <f>Assumptions!P86</f>
        <v>4</v>
      </c>
      <c r="O72" s="15"/>
      <c r="P72" s="15"/>
    </row>
    <row r="73" spans="1:16" ht="15" customHeight="1" x14ac:dyDescent="0.2">
      <c r="B73" s="19" t="s">
        <v>89</v>
      </c>
      <c r="C73" s="26">
        <v>29574</v>
      </c>
      <c r="D73" s="26">
        <v>30233</v>
      </c>
      <c r="E73" s="26">
        <v>30669</v>
      </c>
      <c r="F73" s="26">
        <v>31288</v>
      </c>
      <c r="G73" s="26">
        <v>31790</v>
      </c>
      <c r="H73" s="124">
        <f>Assumptions!L87</f>
        <v>32438</v>
      </c>
      <c r="I73" s="124">
        <f>Assumptions!M87</f>
        <v>32438</v>
      </c>
      <c r="J73" s="124">
        <f>Assumptions!N87</f>
        <v>32438</v>
      </c>
      <c r="K73" s="123">
        <f>Assumptions!O87</f>
        <v>32438</v>
      </c>
      <c r="L73" s="125">
        <f>Assumptions!P87</f>
        <v>32438</v>
      </c>
      <c r="O73" s="13"/>
      <c r="P73" s="612"/>
    </row>
    <row r="74" spans="1:16" ht="15" customHeight="1" x14ac:dyDescent="0.2">
      <c r="B74" s="19" t="s">
        <v>90</v>
      </c>
      <c r="C74" s="26">
        <v>-884</v>
      </c>
      <c r="D74" s="26">
        <v>-1395</v>
      </c>
      <c r="E74" s="26">
        <v>-1864</v>
      </c>
      <c r="F74" s="26">
        <v>-2341</v>
      </c>
      <c r="G74" s="26">
        <v>-2806</v>
      </c>
      <c r="H74" s="123">
        <f>Assumptions!L88</f>
        <v>-2806</v>
      </c>
      <c r="I74" s="124">
        <f>Assumptions!M88</f>
        <v>-2806</v>
      </c>
      <c r="J74" s="124">
        <f>Assumptions!N88</f>
        <v>-2806</v>
      </c>
      <c r="K74" s="123">
        <f>Assumptions!O88</f>
        <v>-2806</v>
      </c>
      <c r="L74" s="125">
        <f>Assumptions!P88</f>
        <v>-2806</v>
      </c>
      <c r="O74" s="15"/>
      <c r="P74" s="15"/>
    </row>
    <row r="75" spans="1:16" ht="15" customHeight="1" x14ac:dyDescent="0.2">
      <c r="B75" s="19" t="s">
        <v>91</v>
      </c>
      <c r="C75" s="26">
        <v>32593</v>
      </c>
      <c r="D75" s="26">
        <v>37874</v>
      </c>
      <c r="E75" s="26">
        <v>41652</v>
      </c>
      <c r="F75" s="26">
        <v>43519</v>
      </c>
      <c r="G75" s="26">
        <v>47865</v>
      </c>
      <c r="H75" s="123">
        <f ca="1">Assumptions!L89</f>
        <v>51876.584273199609</v>
      </c>
      <c r="I75" s="124">
        <f ca="1">Assumptions!M89</f>
        <v>60372.402120225539</v>
      </c>
      <c r="J75" s="124">
        <f ca="1">Assumptions!N89</f>
        <v>75236.732560792574</v>
      </c>
      <c r="K75" s="123">
        <f ca="1">Assumptions!O89</f>
        <v>99399.82577318314</v>
      </c>
      <c r="L75" s="125">
        <f ca="1">Assumptions!P89</f>
        <v>125976.24506450967</v>
      </c>
      <c r="O75" s="14"/>
      <c r="P75" s="14"/>
    </row>
    <row r="76" spans="1:16" ht="15" customHeight="1" x14ac:dyDescent="0.2">
      <c r="B76" s="19" t="s">
        <v>92</v>
      </c>
      <c r="C76" s="26">
        <v>-14175</v>
      </c>
      <c r="D76" s="26">
        <v>-21844</v>
      </c>
      <c r="E76" s="26">
        <v>-24238</v>
      </c>
      <c r="F76" s="26">
        <v>-31437</v>
      </c>
      <c r="G76" s="26">
        <v>-35140</v>
      </c>
      <c r="H76" s="123">
        <f>Assumptions!L90</f>
        <v>-35140</v>
      </c>
      <c r="I76" s="124">
        <f>Assumptions!M90</f>
        <v>-35140</v>
      </c>
      <c r="J76" s="124">
        <f>Assumptions!N90</f>
        <v>-35140</v>
      </c>
      <c r="K76" s="123">
        <f>Assumptions!O90</f>
        <v>-35140</v>
      </c>
      <c r="L76" s="125">
        <f>Assumptions!P90</f>
        <v>-35140</v>
      </c>
      <c r="O76" s="14"/>
      <c r="P76" s="14"/>
    </row>
    <row r="77" spans="1:16" ht="15" customHeight="1" thickBot="1" x14ac:dyDescent="0.25">
      <c r="A77" t="s">
        <v>21</v>
      </c>
      <c r="B77" s="83" t="s">
        <v>150</v>
      </c>
      <c r="C77" s="84">
        <f t="shared" ref="C77:L77" si="20">SUM(C71:C76)</f>
        <v>47166</v>
      </c>
      <c r="D77" s="84">
        <f t="shared" si="20"/>
        <v>44938</v>
      </c>
      <c r="E77" s="84">
        <f t="shared" si="20"/>
        <v>46330</v>
      </c>
      <c r="F77" s="84">
        <f t="shared" si="20"/>
        <v>41033</v>
      </c>
      <c r="G77" s="84">
        <f t="shared" si="20"/>
        <v>41713</v>
      </c>
      <c r="H77" s="84">
        <f t="shared" ca="1" si="20"/>
        <v>46372.584273199609</v>
      </c>
      <c r="I77" s="84">
        <f ca="1">SUM(I71:I76)</f>
        <v>54868.402120225539</v>
      </c>
      <c r="J77" s="84">
        <f t="shared" ca="1" si="20"/>
        <v>69732.732560792574</v>
      </c>
      <c r="K77" s="84">
        <f t="shared" ca="1" si="20"/>
        <v>93895.82577318314</v>
      </c>
      <c r="L77" s="85">
        <f t="shared" ca="1" si="20"/>
        <v>120472.24506450968</v>
      </c>
      <c r="O77" s="14"/>
      <c r="P77" s="14"/>
    </row>
    <row r="78" spans="1:16" ht="15" customHeight="1" x14ac:dyDescent="0.2">
      <c r="B78" s="19" t="s">
        <v>93</v>
      </c>
      <c r="C78" s="26">
        <v>18</v>
      </c>
      <c r="D78" s="26">
        <v>13</v>
      </c>
      <c r="E78" s="26">
        <v>21</v>
      </c>
      <c r="F78" s="26">
        <v>210</v>
      </c>
      <c r="G78" s="26">
        <v>161</v>
      </c>
      <c r="H78" s="123">
        <f>Assumptions!L91</f>
        <v>161</v>
      </c>
      <c r="I78" s="124">
        <f>Assumptions!M91</f>
        <v>161</v>
      </c>
      <c r="J78" s="124">
        <f>Assumptions!N91</f>
        <v>161</v>
      </c>
      <c r="K78" s="123">
        <f>Assumptions!O91</f>
        <v>161</v>
      </c>
      <c r="L78" s="125">
        <f>Assumptions!P91</f>
        <v>161</v>
      </c>
      <c r="O78" s="14"/>
      <c r="P78" s="14"/>
    </row>
    <row r="79" spans="1:16" ht="15" customHeight="1" x14ac:dyDescent="0.2">
      <c r="A79" t="s">
        <v>21</v>
      </c>
      <c r="B79" s="19" t="s">
        <v>151</v>
      </c>
      <c r="C79" s="70">
        <f>C77+C78</f>
        <v>47184</v>
      </c>
      <c r="D79" s="70">
        <f t="shared" ref="D79:G79" si="21">D77+D78</f>
        <v>44951</v>
      </c>
      <c r="E79" s="70">
        <f t="shared" si="21"/>
        <v>46351</v>
      </c>
      <c r="F79" s="70">
        <f t="shared" si="21"/>
        <v>41243</v>
      </c>
      <c r="G79" s="70">
        <f t="shared" si="21"/>
        <v>41874</v>
      </c>
      <c r="H79" s="70">
        <f ca="1">H77+H78</f>
        <v>46533.584273199609</v>
      </c>
      <c r="I79" s="70">
        <f ca="1">I77+I78</f>
        <v>55029.402120225539</v>
      </c>
      <c r="J79" s="70">
        <f t="shared" ref="J79" ca="1" si="22">J77+J78</f>
        <v>69893.732560792574</v>
      </c>
      <c r="K79" s="70">
        <f t="shared" ref="K79" ca="1" si="23">K77+K78</f>
        <v>94056.82577318314</v>
      </c>
      <c r="L79" s="71">
        <f t="shared" ref="L79" ca="1" si="24">L77+L78</f>
        <v>120633.24506450968</v>
      </c>
      <c r="O79" s="14"/>
      <c r="P79" s="14"/>
    </row>
    <row r="80" spans="1:16" ht="15" customHeight="1" thickBot="1" x14ac:dyDescent="0.25">
      <c r="A80" t="s">
        <v>21</v>
      </c>
      <c r="B80" s="83" t="s">
        <v>152</v>
      </c>
      <c r="C80" s="84">
        <f t="shared" ref="C80:L80" si="25">C69+C79</f>
        <v>154889</v>
      </c>
      <c r="D80" s="84">
        <f t="shared" si="25"/>
        <v>143932</v>
      </c>
      <c r="E80" s="84">
        <f t="shared" si="25"/>
        <v>152761</v>
      </c>
      <c r="F80" s="84">
        <f t="shared" si="25"/>
        <v>155881</v>
      </c>
      <c r="G80" s="84">
        <f t="shared" si="25"/>
        <v>157919</v>
      </c>
      <c r="H80" s="84">
        <f ca="1">H69+H79</f>
        <v>171640.1248367182</v>
      </c>
      <c r="I80" s="84">
        <f t="shared" ca="1" si="25"/>
        <v>187352.88065872455</v>
      </c>
      <c r="J80" s="84">
        <f t="shared" ca="1" si="25"/>
        <v>201647.69442265149</v>
      </c>
      <c r="K80" s="84">
        <f t="shared" ca="1" si="25"/>
        <v>225470.0040738699</v>
      </c>
      <c r="L80" s="85">
        <f t="shared" ca="1" si="25"/>
        <v>259724.91228934017</v>
      </c>
      <c r="O80" s="15"/>
      <c r="P80" s="15"/>
    </row>
    <row r="81" spans="2:16" ht="15" customHeight="1" x14ac:dyDescent="0.2">
      <c r="B81" t="s">
        <v>153</v>
      </c>
      <c r="C81" s="18">
        <f t="shared" ref="C81:L81" si="26">C21-C80</f>
        <v>0</v>
      </c>
      <c r="D81" s="18">
        <f t="shared" si="26"/>
        <v>0</v>
      </c>
      <c r="E81" s="18">
        <f t="shared" si="26"/>
        <v>0</v>
      </c>
      <c r="F81" s="18">
        <f t="shared" si="26"/>
        <v>0</v>
      </c>
      <c r="G81" s="18">
        <f t="shared" si="26"/>
        <v>0</v>
      </c>
      <c r="H81" s="18">
        <f t="shared" ca="1" si="26"/>
        <v>0</v>
      </c>
      <c r="I81" s="18">
        <f t="shared" ca="1" si="26"/>
        <v>0</v>
      </c>
      <c r="J81" s="18">
        <f t="shared" ca="1" si="26"/>
        <v>0</v>
      </c>
      <c r="K81" s="18">
        <f t="shared" ca="1" si="26"/>
        <v>0</v>
      </c>
      <c r="L81" s="18">
        <f t="shared" ca="1" si="26"/>
        <v>0</v>
      </c>
      <c r="O81" s="14"/>
      <c r="P81" s="14"/>
    </row>
    <row r="82" spans="2:16" ht="15" customHeight="1" x14ac:dyDescent="0.2">
      <c r="H82" s="3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967B9-061D-4096-B2ED-145F9553CD09}">
  <dimension ref="A1:I75"/>
  <sheetViews>
    <sheetView showGridLines="0" zoomScale="83" workbookViewId="0"/>
  </sheetViews>
  <sheetFormatPr baseColWidth="10" defaultColWidth="8.83203125" defaultRowHeight="15" x14ac:dyDescent="0.2"/>
  <cols>
    <col min="1" max="1" width="3.5" customWidth="1"/>
    <col min="2" max="2" width="33" bestFit="1" customWidth="1"/>
  </cols>
  <sheetData>
    <row r="1" spans="1:8" ht="16" thickBot="1" x14ac:dyDescent="0.25"/>
    <row r="2" spans="1:8" x14ac:dyDescent="0.2">
      <c r="B2" s="457" t="s">
        <v>6</v>
      </c>
      <c r="C2" s="458"/>
      <c r="D2" s="458" t="s">
        <v>14</v>
      </c>
      <c r="E2" s="458"/>
      <c r="F2" s="458"/>
      <c r="G2" s="458"/>
      <c r="H2" s="459"/>
    </row>
    <row r="3" spans="1:8" x14ac:dyDescent="0.2">
      <c r="B3" s="462" t="s">
        <v>112</v>
      </c>
      <c r="C3" s="463">
        <v>2025</v>
      </c>
      <c r="D3" s="464">
        <v>2026</v>
      </c>
      <c r="E3" s="464">
        <v>2027</v>
      </c>
      <c r="F3" s="464">
        <v>2028</v>
      </c>
      <c r="G3" s="464">
        <v>2029</v>
      </c>
      <c r="H3" s="465">
        <v>2030</v>
      </c>
    </row>
    <row r="4" spans="1:8" x14ac:dyDescent="0.2">
      <c r="B4" s="209" t="s">
        <v>154</v>
      </c>
      <c r="C4" s="211"/>
      <c r="D4" s="211"/>
      <c r="E4" s="211"/>
      <c r="F4" s="211"/>
      <c r="G4" s="211"/>
      <c r="H4" s="212"/>
    </row>
    <row r="5" spans="1:8" x14ac:dyDescent="0.2">
      <c r="B5" s="136" t="s">
        <v>158</v>
      </c>
      <c r="D5" s="31">
        <f ca="1">'Income Statement'!H54</f>
        <v>4011.584273199609</v>
      </c>
      <c r="E5" s="31">
        <f ca="1">'Income Statement'!I54</f>
        <v>8495.81784702593</v>
      </c>
      <c r="F5" s="31">
        <f ca="1">'Income Statement'!J54</f>
        <v>14864.330440567031</v>
      </c>
      <c r="G5" s="31">
        <f ca="1">'Income Statement'!K54</f>
        <v>24163.09321239057</v>
      </c>
      <c r="H5" s="140">
        <f ca="1">'Income Statement'!L54</f>
        <v>26576.419291326532</v>
      </c>
    </row>
    <row r="6" spans="1:8" x14ac:dyDescent="0.2">
      <c r="B6" s="136" t="s">
        <v>56</v>
      </c>
      <c r="D6" s="31">
        <f>Calcs!H15</f>
        <v>1949.8866234923348</v>
      </c>
      <c r="E6" s="31">
        <f>Calcs!I15</f>
        <v>2164.35208566032</v>
      </c>
      <c r="F6" s="31">
        <f>Calcs!J15</f>
        <v>2360.7789588373707</v>
      </c>
      <c r="G6" s="31">
        <f>Calcs!K15</f>
        <v>2553.5950093510269</v>
      </c>
      <c r="H6" s="140">
        <f>Calcs!L15</f>
        <v>2766.1452345266525</v>
      </c>
    </row>
    <row r="7" spans="1:8" x14ac:dyDescent="0.2">
      <c r="B7" s="136" t="s">
        <v>61</v>
      </c>
      <c r="D7" s="32">
        <f>-('Balance Sheet'!H7-'Balance Sheet'!G7)</f>
        <v>130.11217304481784</v>
      </c>
      <c r="E7" s="32">
        <f>-('Balance Sheet'!I7-'Balance Sheet'!H7)</f>
        <v>-273.12468455019052</v>
      </c>
      <c r="F7" s="32">
        <f>-('Balance Sheet'!J7-'Balance Sheet'!I7)</f>
        <v>-108.8169896642803</v>
      </c>
      <c r="G7" s="32">
        <f>-('Balance Sheet'!K7-'Balance Sheet'!J7)</f>
        <v>-308.90896669536664</v>
      </c>
      <c r="H7" s="141">
        <f>-('Balance Sheet'!L7-'Balance Sheet'!K7)</f>
        <v>-134.57033090072446</v>
      </c>
    </row>
    <row r="8" spans="1:8" x14ac:dyDescent="0.2">
      <c r="B8" s="136" t="s">
        <v>159</v>
      </c>
      <c r="D8" s="32">
        <f>-('Balance Sheet'!H8-'Balance Sheet'!G8)</f>
        <v>-551.78118691410418</v>
      </c>
      <c r="E8" s="32">
        <f>-('Balance Sheet'!I8-'Balance Sheet'!H8)</f>
        <v>-4081.2816335927018</v>
      </c>
      <c r="F8" s="32">
        <f>-('Balance Sheet'!J8-'Balance Sheet'!I8)</f>
        <v>-3965.4943557689985</v>
      </c>
      <c r="G8" s="32">
        <f>-('Balance Sheet'!K8-'Balance Sheet'!J8)</f>
        <v>-4062.3660627653226</v>
      </c>
      <c r="H8" s="141">
        <f>-('Balance Sheet'!L8-'Balance Sheet'!K8)</f>
        <v>-3448.3647293310642</v>
      </c>
    </row>
    <row r="9" spans="1:8" x14ac:dyDescent="0.2">
      <c r="B9" s="136" t="s">
        <v>64</v>
      </c>
      <c r="D9" s="32">
        <f>-('Balance Sheet'!H9-'Balance Sheet'!G9)</f>
        <v>208.66373244509668</v>
      </c>
      <c r="E9" s="32">
        <f>-('Balance Sheet'!I9-'Balance Sheet'!H9)</f>
        <v>-1202.0878123910006</v>
      </c>
      <c r="F9" s="32">
        <f>-('Balance Sheet'!J9-'Balance Sheet'!I9)</f>
        <v>-1197.0480000044263</v>
      </c>
      <c r="G9" s="32">
        <f>-('Balance Sheet'!K9-'Balance Sheet'!J9)</f>
        <v>-1239.0061160306977</v>
      </c>
      <c r="H9" s="141">
        <f>-('Balance Sheet'!L9-'Balance Sheet'!K9)</f>
        <v>-1377.8483234594078</v>
      </c>
    </row>
    <row r="10" spans="1:8" x14ac:dyDescent="0.2">
      <c r="B10" s="136" t="s">
        <v>160</v>
      </c>
      <c r="D10" s="32">
        <f>-('Balance Sheet'!H10-'Balance Sheet'!G10)</f>
        <v>-110.29275651727403</v>
      </c>
      <c r="E10" s="32">
        <f>-('Balance Sheet'!I10-'Balance Sheet'!H10)</f>
        <v>-442.22977734139386</v>
      </c>
      <c r="F10" s="32">
        <f>-('Balance Sheet'!J10-'Balance Sheet'!I10)</f>
        <v>-432.33252682656712</v>
      </c>
      <c r="G10" s="32">
        <f>-('Balance Sheet'!K10-'Balance Sheet'!J10)</f>
        <v>-444.75726424694312</v>
      </c>
      <c r="H10" s="141">
        <f>-('Balance Sheet'!L10-'Balance Sheet'!K10)</f>
        <v>-498.05231161190568</v>
      </c>
    </row>
    <row r="11" spans="1:8" x14ac:dyDescent="0.2">
      <c r="B11" s="136" t="s">
        <v>161</v>
      </c>
      <c r="D11" s="32">
        <f>-('Balance Sheet'!H11-'Balance Sheet'!G11)</f>
        <v>0</v>
      </c>
      <c r="E11" s="32">
        <f>-('Balance Sheet'!I11-'Balance Sheet'!H11)</f>
        <v>0</v>
      </c>
      <c r="F11" s="32">
        <f>-('Balance Sheet'!J11-'Balance Sheet'!I11)</f>
        <v>0</v>
      </c>
      <c r="G11" s="32">
        <f>-('Balance Sheet'!K11-'Balance Sheet'!J11)</f>
        <v>0</v>
      </c>
      <c r="H11" s="141">
        <f>-('Balance Sheet'!L11-'Balance Sheet'!K11)</f>
        <v>0</v>
      </c>
    </row>
    <row r="12" spans="1:8" x14ac:dyDescent="0.2">
      <c r="B12" s="136" t="s">
        <v>162</v>
      </c>
      <c r="D12" s="32">
        <f>'Balance Sheet'!H23-'Balance Sheet'!G23</f>
        <v>616.90015086041149</v>
      </c>
      <c r="E12" s="32">
        <f>'Balance Sheet'!I23-'Balance Sheet'!H23</f>
        <v>524.5999148845749</v>
      </c>
      <c r="F12" s="32">
        <f>'Balance Sheet'!J23-'Balance Sheet'!I23</f>
        <v>434.97858362879469</v>
      </c>
      <c r="G12" s="32">
        <f>'Balance Sheet'!K23-'Balance Sheet'!J23</f>
        <v>393.02907298506125</v>
      </c>
      <c r="H12" s="141">
        <f>'Balance Sheet'!L23-'Balance Sheet'!K23</f>
        <v>639.20907177844219</v>
      </c>
    </row>
    <row r="13" spans="1:8" x14ac:dyDescent="0.2">
      <c r="B13" s="136" t="s">
        <v>163</v>
      </c>
      <c r="D13" s="32">
        <f>'Balance Sheet'!H24-'Balance Sheet'!G24</f>
        <v>1116.3231889110248</v>
      </c>
      <c r="E13" s="32">
        <f>'Balance Sheet'!I24-'Balance Sheet'!H24</f>
        <v>3459.069646059681</v>
      </c>
      <c r="F13" s="32">
        <f>'Balance Sheet'!J24-'Balance Sheet'!I24</f>
        <v>3168.1289276543393</v>
      </c>
      <c r="G13" s="32">
        <f>'Balance Sheet'!K24-'Balance Sheet'!J24</f>
        <v>3109.8907062363287</v>
      </c>
      <c r="H13" s="141">
        <f>'Balance Sheet'!L24-'Balance Sheet'!K24</f>
        <v>3428.1791796959587</v>
      </c>
    </row>
    <row r="14" spans="1:8" x14ac:dyDescent="0.2">
      <c r="B14" s="136" t="s">
        <v>164</v>
      </c>
      <c r="D14" s="32">
        <f>'Balance Sheet'!H25-'Balance Sheet'!G25</f>
        <v>-1153.218309926795</v>
      </c>
      <c r="E14" s="32">
        <f>'Balance Sheet'!I25-'Balance Sheet'!H25</f>
        <v>1168.8554123574831</v>
      </c>
      <c r="F14" s="32">
        <f>'Balance Sheet'!J25-'Balance Sheet'!I25</f>
        <v>1095.8284080961894</v>
      </c>
      <c r="G14" s="32">
        <f>'Balance Sheet'!K25-'Balance Sheet'!J25</f>
        <v>1090.6890013393513</v>
      </c>
      <c r="H14" s="141">
        <f>'Balance Sheet'!L25-'Balance Sheet'!K25</f>
        <v>1201.8551422226956</v>
      </c>
    </row>
    <row r="15" spans="1:8" ht="16" thickBot="1" x14ac:dyDescent="0.25">
      <c r="B15" s="136" t="s">
        <v>165</v>
      </c>
      <c r="D15" s="32">
        <f>'Balance Sheet'!H27-'Balance Sheet'!G27</f>
        <v>3297.1710260690961</v>
      </c>
      <c r="E15" s="32">
        <f>'Balance Sheet'!I27-'Balance Sheet'!H27</f>
        <v>1357.8291054208767</v>
      </c>
      <c r="F15" s="32">
        <f>'Balance Sheet'!J27-'Balance Sheet'!I27</f>
        <v>1243.6227390203476</v>
      </c>
      <c r="G15" s="32">
        <f>'Balance Sheet'!K27-'Balance Sheet'!J27</f>
        <v>1220.7618081398759</v>
      </c>
      <c r="H15" s="141">
        <f>'Balance Sheet'!L27-'Balance Sheet'!K27</f>
        <v>1345.7033090072437</v>
      </c>
    </row>
    <row r="16" spans="1:8" ht="16" thickBot="1" x14ac:dyDescent="0.25">
      <c r="A16" t="s">
        <v>21</v>
      </c>
      <c r="B16" s="222" t="s">
        <v>166</v>
      </c>
      <c r="C16" s="223"/>
      <c r="D16" s="223">
        <f ca="1">SUM(D5:D15)</f>
        <v>9515.3489146642169</v>
      </c>
      <c r="E16" s="223">
        <f t="shared" ref="E16:H16" ca="1" si="0">SUM(E5:E15)</f>
        <v>11171.80010353358</v>
      </c>
      <c r="F16" s="223">
        <f t="shared" ca="1" si="0"/>
        <v>17463.976185539803</v>
      </c>
      <c r="G16" s="223">
        <f t="shared" ca="1" si="0"/>
        <v>26476.020400703885</v>
      </c>
      <c r="H16" s="224">
        <f t="shared" ca="1" si="0"/>
        <v>30498.675533254416</v>
      </c>
    </row>
    <row r="17" spans="1:8" x14ac:dyDescent="0.2">
      <c r="B17" s="225" t="s">
        <v>479</v>
      </c>
      <c r="C17" s="55"/>
      <c r="D17" s="55"/>
      <c r="E17" s="55"/>
      <c r="F17" s="55"/>
      <c r="G17" s="55"/>
      <c r="H17" s="146"/>
    </row>
    <row r="18" spans="1:8" x14ac:dyDescent="0.2">
      <c r="B18" s="136" t="s">
        <v>57</v>
      </c>
      <c r="D18" s="32">
        <f>-Calcs!H14</f>
        <v>-1972.5859382959907</v>
      </c>
      <c r="E18" s="32">
        <f>-Calcs!I14</f>
        <v>-2169.1844881250981</v>
      </c>
      <c r="F18" s="32">
        <f>-Calcs!J14</f>
        <v>-2261.1893315062075</v>
      </c>
      <c r="G18" s="32">
        <f>-Calcs!K14</f>
        <v>-2277.7025598050564</v>
      </c>
      <c r="H18" s="141">
        <f>-Calcs!L14</f>
        <v>-2459.3759725738914</v>
      </c>
    </row>
    <row r="19" spans="1:8" x14ac:dyDescent="0.2">
      <c r="B19" s="136" t="s">
        <v>167</v>
      </c>
      <c r="D19" s="32">
        <f>-('Balance Sheet'!H13-'Balance Sheet'!G13)</f>
        <v>-6222.5075045011363</v>
      </c>
      <c r="E19" s="32">
        <f>-('Balance Sheet'!I13-'Balance Sheet'!H13)</f>
        <v>-2716.0063747789864</v>
      </c>
      <c r="F19" s="32">
        <f>-('Balance Sheet'!J13-'Balance Sheet'!I13)</f>
        <v>-2487.5643580731812</v>
      </c>
      <c r="G19" s="32">
        <f>-('Balance Sheet'!K13-'Balance Sheet'!J13)</f>
        <v>-2441.8366344908391</v>
      </c>
      <c r="H19" s="141">
        <f>-('Balance Sheet'!L13-'Balance Sheet'!K13)</f>
        <v>-2691.7516727496841</v>
      </c>
    </row>
    <row r="20" spans="1:8" x14ac:dyDescent="0.2">
      <c r="B20" s="136" t="s">
        <v>168</v>
      </c>
      <c r="D20" s="32">
        <f>-('Balance Sheet'!H14-'Balance Sheet'!G14)</f>
        <v>-206.69920520072174</v>
      </c>
      <c r="E20" s="32">
        <f>-('Balance Sheet'!I14-'Balance Sheet'!H14)</f>
        <v>-1685.3633523261415</v>
      </c>
      <c r="F20" s="32">
        <f>-('Balance Sheet'!J14-'Balance Sheet'!I14)</f>
        <v>-1478.248877728297</v>
      </c>
      <c r="G20" s="32">
        <f>-('Balance Sheet'!K14-'Balance Sheet'!J14)</f>
        <v>-1620.8424464855743</v>
      </c>
      <c r="H20" s="141">
        <f>-('Balance Sheet'!L14-'Balance Sheet'!K14)</f>
        <v>-1851.5261105451664</v>
      </c>
    </row>
    <row r="21" spans="1:8" x14ac:dyDescent="0.2">
      <c r="B21" s="136" t="s">
        <v>70</v>
      </c>
      <c r="D21" s="32">
        <f>-('Balance Sheet'!H16-'Balance Sheet'!G16)</f>
        <v>0</v>
      </c>
      <c r="E21" s="32">
        <f>-('Balance Sheet'!I16-'Balance Sheet'!H16)</f>
        <v>0</v>
      </c>
      <c r="F21" s="32">
        <f>-('Balance Sheet'!J16-'Balance Sheet'!I16)</f>
        <v>0</v>
      </c>
      <c r="G21" s="32">
        <f>-('Balance Sheet'!K16-'Balance Sheet'!J16)</f>
        <v>0</v>
      </c>
      <c r="H21" s="141">
        <f>-('Balance Sheet'!L16-'Balance Sheet'!K16)</f>
        <v>0</v>
      </c>
    </row>
    <row r="22" spans="1:8" x14ac:dyDescent="0.2">
      <c r="B22" s="136" t="s">
        <v>169</v>
      </c>
      <c r="D22" s="32">
        <f>-('Balance Sheet'!H17-'Balance Sheet'!G17)</f>
        <v>-3846.0739434313764</v>
      </c>
      <c r="E22" s="32">
        <f>-('Balance Sheet'!I17-'Balance Sheet'!H17)</f>
        <v>-4420.7389099479224</v>
      </c>
      <c r="F22" s="32">
        <f>-('Balance Sheet'!J17-'Balance Sheet'!I17)</f>
        <v>-4276.4000405240804</v>
      </c>
      <c r="G22" s="32">
        <f>-('Balance Sheet'!K17-'Balance Sheet'!J17)</f>
        <v>-4367.5565148003006</v>
      </c>
      <c r="H22" s="141">
        <f>-('Balance Sheet'!L17-'Balance Sheet'!K17)</f>
        <v>-4879.3585558114646</v>
      </c>
    </row>
    <row r="23" spans="1:8" x14ac:dyDescent="0.2">
      <c r="B23" s="136" t="s">
        <v>72</v>
      </c>
      <c r="D23" s="32">
        <f>-('Balance Sheet'!H18-'Balance Sheet'!G18)</f>
        <v>-201.29275651727403</v>
      </c>
      <c r="E23" s="32">
        <f>-('Balance Sheet'!I18-'Balance Sheet'!H18)</f>
        <v>3.1177269320305641</v>
      </c>
      <c r="F23" s="32">
        <f>-('Balance Sheet'!J18-'Balance Sheet'!I18)</f>
        <v>93.850455483179303</v>
      </c>
      <c r="G23" s="32">
        <f>-('Balance Sheet'!K18-'Balance Sheet'!J18)</f>
        <v>160.03225533827981</v>
      </c>
      <c r="H23" s="141">
        <f>-('Balance Sheet'!L18-'Balance Sheet'!K18)</f>
        <v>-16.584479230549732</v>
      </c>
    </row>
    <row r="24" spans="1:8" x14ac:dyDescent="0.2">
      <c r="B24" s="136" t="s">
        <v>170</v>
      </c>
      <c r="D24" s="32">
        <f>-('Balance Sheet'!H19-'Balance Sheet'!G19)</f>
        <v>-667.67580477077536</v>
      </c>
      <c r="E24" s="32">
        <f>-('Balance Sheet'!I19-'Balance Sheet'!H19)</f>
        <v>-728.27428069770576</v>
      </c>
      <c r="F24" s="32">
        <f>-('Balance Sheet'!J19-'Balance Sheet'!I19)</f>
        <v>-621.52199448184729</v>
      </c>
      <c r="G24" s="32">
        <f>-('Balance Sheet'!K19-'Balance Sheet'!J19)</f>
        <v>-576.14334420604428</v>
      </c>
      <c r="H24" s="141">
        <f>-('Balance Sheet'!L19-'Balance Sheet'!K19)</f>
        <v>-841.0645681295282</v>
      </c>
    </row>
    <row r="25" spans="1:8" x14ac:dyDescent="0.2">
      <c r="B25" s="136" t="s">
        <v>171</v>
      </c>
      <c r="D25" s="32">
        <f>'Balance Sheet'!H33-'Balance Sheet'!G33</f>
        <v>864.02464781046001</v>
      </c>
      <c r="E25" s="32">
        <f>'Balance Sheet'!I33-'Balance Sheet'!H33</f>
        <v>845.52546395601712</v>
      </c>
      <c r="F25" s="32">
        <f>'Balance Sheet'!J33-'Balance Sheet'!I33</f>
        <v>683.41375640453771</v>
      </c>
      <c r="G25" s="32">
        <f>'Balance Sheet'!K33-'Balance Sheet'!J33</f>
        <v>805.03618323226874</v>
      </c>
      <c r="H25" s="141">
        <f>'Balance Sheet'!L33-'Balance Sheet'!K33</f>
        <v>1093.3839385683877</v>
      </c>
    </row>
    <row r="26" spans="1:8" x14ac:dyDescent="0.2">
      <c r="B26" s="136" t="s">
        <v>172</v>
      </c>
      <c r="D26" s="32">
        <f>'Balance Sheet'!H34-'Balance Sheet'!G34</f>
        <v>570.73189129318507</v>
      </c>
      <c r="E26" s="32">
        <f>'Balance Sheet'!I34-'Balance Sheet'!H34</f>
        <v>506.0681876007975</v>
      </c>
      <c r="F26" s="32">
        <f>'Balance Sheet'!J34-'Balance Sheet'!I34</f>
        <v>372.50807164945218</v>
      </c>
      <c r="G26" s="32">
        <f>'Balance Sheet'!K34-'Balance Sheet'!J34</f>
        <v>499.84573119729976</v>
      </c>
      <c r="H26" s="141">
        <f>'Balance Sheet'!L34-'Balance Sheet'!K34</f>
        <v>756.95811131657501</v>
      </c>
    </row>
    <row r="27" spans="1:8" x14ac:dyDescent="0.2">
      <c r="B27" s="136" t="s">
        <v>173</v>
      </c>
      <c r="D27" s="32">
        <f>'Balance Sheet'!H35-'Balance Sheet'!G35</f>
        <v>391.43913477591104</v>
      </c>
      <c r="E27" s="32">
        <f>'Balance Sheet'!I35-'Balance Sheet'!H35</f>
        <v>440.67091387537857</v>
      </c>
      <c r="F27" s="32">
        <f>'Balance Sheet'!J35-'Balance Sheet'!I35</f>
        <v>348.04074190870233</v>
      </c>
      <c r="G27" s="32">
        <f>'Balance Sheet'!K35-'Balance Sheet'!J35</f>
        <v>442.52615545070421</v>
      </c>
      <c r="H27" s="141">
        <f>'Balance Sheet'!L35-'Balance Sheet'!K35</f>
        <v>487.8174495151261</v>
      </c>
    </row>
    <row r="28" spans="1:8" ht="16" thickBot="1" x14ac:dyDescent="0.25">
      <c r="B28" s="136" t="s">
        <v>174</v>
      </c>
      <c r="D28" s="32">
        <f>'Balance Sheet'!H67-'Balance Sheet'!G67</f>
        <v>667.67580477077536</v>
      </c>
      <c r="E28" s="32">
        <f>'Balance Sheet'!I67-'Balance Sheet'!H67</f>
        <v>728.27428069770576</v>
      </c>
      <c r="F28" s="32">
        <f>'Balance Sheet'!J67-'Balance Sheet'!I67</f>
        <v>621.52199448184729</v>
      </c>
      <c r="G28" s="32">
        <f>'Balance Sheet'!K67-'Balance Sheet'!J67</f>
        <v>576.14334420604428</v>
      </c>
      <c r="H28" s="141">
        <f>'Balance Sheet'!L67-'Balance Sheet'!K67</f>
        <v>841.0645681295282</v>
      </c>
    </row>
    <row r="29" spans="1:8" ht="16" thickBot="1" x14ac:dyDescent="0.25">
      <c r="A29" t="s">
        <v>21</v>
      </c>
      <c r="B29" s="222" t="s">
        <v>477</v>
      </c>
      <c r="C29" s="223"/>
      <c r="D29" s="223">
        <f>SUM(D18:D28)</f>
        <v>-10622.963674066943</v>
      </c>
      <c r="E29" s="223">
        <f t="shared" ref="E29:H29" si="1">SUM(E18:E28)</f>
        <v>-9195.9108328139246</v>
      </c>
      <c r="F29" s="223">
        <f t="shared" si="1"/>
        <v>-9005.5895823858937</v>
      </c>
      <c r="G29" s="223">
        <f t="shared" si="1"/>
        <v>-8800.4978303632197</v>
      </c>
      <c r="H29" s="224">
        <f t="shared" si="1"/>
        <v>-9560.4372915106687</v>
      </c>
    </row>
    <row r="30" spans="1:8" x14ac:dyDescent="0.2">
      <c r="B30" s="209" t="s">
        <v>155</v>
      </c>
      <c r="C30" s="211"/>
      <c r="D30" s="211"/>
      <c r="E30" s="211"/>
      <c r="F30" s="211"/>
      <c r="G30" s="211"/>
      <c r="H30" s="605"/>
    </row>
    <row r="31" spans="1:8" x14ac:dyDescent="0.2">
      <c r="B31" s="136" t="s">
        <v>118</v>
      </c>
      <c r="D31" s="32">
        <f>'Balance Sheet'!H29-'Balance Sheet'!G29</f>
        <v>-549</v>
      </c>
      <c r="E31" s="32">
        <f>'Balance Sheet'!I29-'Balance Sheet'!H29</f>
        <v>0</v>
      </c>
      <c r="F31" s="32">
        <f>'Balance Sheet'!J29-'Balance Sheet'!I29</f>
        <v>0</v>
      </c>
      <c r="G31" s="32">
        <f>'Balance Sheet'!K29-'Balance Sheet'!J29</f>
        <v>0</v>
      </c>
      <c r="H31" s="141">
        <f>'Balance Sheet'!L29-'Balance Sheet'!K29</f>
        <v>0</v>
      </c>
    </row>
    <row r="32" spans="1:8" x14ac:dyDescent="0.2">
      <c r="B32" s="136" t="s">
        <v>175</v>
      </c>
      <c r="D32" s="325">
        <f>'Balance Sheet'!H30-'Balance Sheet'!G30</f>
        <v>-2</v>
      </c>
      <c r="E32" s="325">
        <f>'Balance Sheet'!I30-'Balance Sheet'!H30</f>
        <v>-2</v>
      </c>
      <c r="F32" s="325">
        <f>'Balance Sheet'!J30-'Balance Sheet'!I30</f>
        <v>-2</v>
      </c>
      <c r="G32" s="325">
        <f>'Balance Sheet'!K30-'Balance Sheet'!J30</f>
        <v>-2</v>
      </c>
      <c r="H32" s="606">
        <f>'Balance Sheet'!L30-'Balance Sheet'!K30</f>
        <v>-2</v>
      </c>
    </row>
    <row r="33" spans="2:9" x14ac:dyDescent="0.2">
      <c r="B33" s="136" t="s">
        <v>122</v>
      </c>
      <c r="D33" s="139">
        <v>-740.5</v>
      </c>
      <c r="E33" s="139">
        <v>-740.5</v>
      </c>
      <c r="F33" s="139">
        <v>0</v>
      </c>
      <c r="G33" s="139">
        <v>0</v>
      </c>
      <c r="H33" s="628">
        <v>0</v>
      </c>
      <c r="I33" s="32"/>
    </row>
    <row r="34" spans="2:9" x14ac:dyDescent="0.2">
      <c r="B34" s="136" t="s">
        <v>123</v>
      </c>
      <c r="D34" s="139">
        <v>-130</v>
      </c>
      <c r="E34" s="139">
        <v>-130</v>
      </c>
      <c r="F34" s="139">
        <v>0</v>
      </c>
      <c r="G34" s="139">
        <v>0</v>
      </c>
      <c r="H34" s="628">
        <v>0</v>
      </c>
      <c r="I34" s="32"/>
    </row>
    <row r="35" spans="2:9" x14ac:dyDescent="0.2">
      <c r="B35" s="136" t="s">
        <v>124</v>
      </c>
      <c r="D35" s="139">
        <v>-299.5</v>
      </c>
      <c r="E35" s="139">
        <v>-299.5</v>
      </c>
      <c r="F35" s="139">
        <v>0</v>
      </c>
      <c r="G35" s="139">
        <v>0</v>
      </c>
      <c r="H35" s="628">
        <v>0</v>
      </c>
      <c r="I35" s="32"/>
    </row>
    <row r="36" spans="2:9" x14ac:dyDescent="0.2">
      <c r="B36" s="136" t="s">
        <v>125</v>
      </c>
      <c r="D36" s="139">
        <v>-1264</v>
      </c>
      <c r="E36" s="139">
        <v>-1264</v>
      </c>
      <c r="F36" s="139">
        <v>-1264</v>
      </c>
      <c r="G36" s="139">
        <v>0</v>
      </c>
      <c r="H36" s="628">
        <v>0</v>
      </c>
      <c r="I36" s="32"/>
    </row>
    <row r="37" spans="2:9" x14ac:dyDescent="0.2">
      <c r="B37" s="136" t="s">
        <v>126</v>
      </c>
      <c r="D37" s="139">
        <v>-249</v>
      </c>
      <c r="E37" s="139">
        <v>-249</v>
      </c>
      <c r="F37" s="139">
        <v>-249</v>
      </c>
      <c r="G37" s="139">
        <v>-249</v>
      </c>
      <c r="H37" s="628">
        <v>0</v>
      </c>
      <c r="I37" s="32"/>
    </row>
    <row r="38" spans="2:9" x14ac:dyDescent="0.2">
      <c r="B38" s="136" t="s">
        <v>127</v>
      </c>
      <c r="D38" s="139">
        <v>-281.20000000000005</v>
      </c>
      <c r="E38" s="139">
        <v>-281.20000000000005</v>
      </c>
      <c r="F38" s="139">
        <v>-281.20000000000005</v>
      </c>
      <c r="G38" s="139">
        <v>-281.2</v>
      </c>
      <c r="H38" s="628">
        <v>-281.19999999999987</v>
      </c>
      <c r="I38" s="32"/>
    </row>
    <row r="39" spans="2:9" x14ac:dyDescent="0.2">
      <c r="B39" s="136" t="s">
        <v>128</v>
      </c>
      <c r="D39" s="139">
        <v>-198.60000000000002</v>
      </c>
      <c r="E39" s="139">
        <v>-198.60000000000002</v>
      </c>
      <c r="F39" s="139">
        <v>-198.60000000000002</v>
      </c>
      <c r="G39" s="139">
        <v>-198.6</v>
      </c>
      <c r="H39" s="628">
        <v>-198.59999999999994</v>
      </c>
      <c r="I39" s="32"/>
    </row>
    <row r="40" spans="2:9" x14ac:dyDescent="0.2">
      <c r="B40" s="136" t="s">
        <v>129</v>
      </c>
      <c r="D40" s="139">
        <v>-236.66666666666674</v>
      </c>
      <c r="E40" s="139">
        <v>-236.66666666666663</v>
      </c>
      <c r="F40" s="139">
        <v>-236.66666666666663</v>
      </c>
      <c r="G40" s="139">
        <v>-236.66666666666663</v>
      </c>
      <c r="H40" s="628">
        <v>-236.66666666666666</v>
      </c>
      <c r="I40" s="32"/>
    </row>
    <row r="41" spans="2:9" x14ac:dyDescent="0.2">
      <c r="B41" s="136" t="s">
        <v>130</v>
      </c>
      <c r="D41" s="139">
        <v>-125</v>
      </c>
      <c r="E41" s="139">
        <v>-125</v>
      </c>
      <c r="F41" s="139">
        <v>-125</v>
      </c>
      <c r="G41" s="139">
        <v>-125</v>
      </c>
      <c r="H41" s="628">
        <v>-125</v>
      </c>
      <c r="I41" s="32"/>
    </row>
    <row r="42" spans="2:9" x14ac:dyDescent="0.2">
      <c r="B42" s="136" t="s">
        <v>131</v>
      </c>
      <c r="D42" s="139">
        <v>-177.57142857142867</v>
      </c>
      <c r="E42" s="139">
        <v>-177.57142857142856</v>
      </c>
      <c r="F42" s="139">
        <v>-177.57142857142856</v>
      </c>
      <c r="G42" s="139">
        <v>-177.57142857142856</v>
      </c>
      <c r="H42" s="628">
        <v>-177.57142857142856</v>
      </c>
      <c r="I42" s="32"/>
    </row>
    <row r="43" spans="2:9" x14ac:dyDescent="0.2">
      <c r="B43" s="136" t="s">
        <v>132</v>
      </c>
      <c r="D43" s="139">
        <v>-5.625</v>
      </c>
      <c r="E43" s="139">
        <v>-5.625</v>
      </c>
      <c r="F43" s="139">
        <v>-5.625</v>
      </c>
      <c r="G43" s="139">
        <v>-5.625</v>
      </c>
      <c r="H43" s="628">
        <v>-5.625</v>
      </c>
      <c r="I43" s="32"/>
    </row>
    <row r="44" spans="2:9" x14ac:dyDescent="0.2">
      <c r="B44" s="136" t="s">
        <v>133</v>
      </c>
      <c r="D44" s="139">
        <v>-99.5</v>
      </c>
      <c r="E44" s="139">
        <v>-99.5</v>
      </c>
      <c r="F44" s="139">
        <v>-99.5</v>
      </c>
      <c r="G44" s="139">
        <v>-99.5</v>
      </c>
      <c r="H44" s="628">
        <v>-99.5</v>
      </c>
      <c r="I44" s="32"/>
    </row>
    <row r="45" spans="2:9" x14ac:dyDescent="0.2">
      <c r="B45" s="136" t="s">
        <v>134</v>
      </c>
      <c r="D45" s="139">
        <v>-138.88888888888891</v>
      </c>
      <c r="E45" s="139">
        <v>-138.88888888888891</v>
      </c>
      <c r="F45" s="139">
        <v>-138.88888888888891</v>
      </c>
      <c r="G45" s="139">
        <v>-138.88888888888891</v>
      </c>
      <c r="H45" s="628">
        <v>-138.88888888888891</v>
      </c>
      <c r="I45" s="32"/>
    </row>
    <row r="46" spans="2:9" x14ac:dyDescent="0.2">
      <c r="B46" s="136" t="s">
        <v>135</v>
      </c>
      <c r="D46" s="139">
        <v>-135.27272727272725</v>
      </c>
      <c r="E46" s="139">
        <v>-135.27272727272725</v>
      </c>
      <c r="F46" s="139">
        <v>-135.27272727272725</v>
      </c>
      <c r="G46" s="139">
        <v>-135.27272727272725</v>
      </c>
      <c r="H46" s="628">
        <v>-135.27272727272725</v>
      </c>
      <c r="I46" s="32"/>
    </row>
    <row r="47" spans="2:9" x14ac:dyDescent="0.2">
      <c r="B47" s="136" t="s">
        <v>136</v>
      </c>
      <c r="D47" s="139">
        <v>-17.27272727272728</v>
      </c>
      <c r="E47" s="139">
        <v>-17.27272727272728</v>
      </c>
      <c r="F47" s="139">
        <v>-17.27272727272728</v>
      </c>
      <c r="G47" s="139">
        <v>-17.27272727272728</v>
      </c>
      <c r="H47" s="628">
        <v>-17.27272727272728</v>
      </c>
      <c r="I47" s="32"/>
    </row>
    <row r="48" spans="2:9" x14ac:dyDescent="0.2">
      <c r="B48" s="136" t="s">
        <v>137</v>
      </c>
      <c r="D48" s="139">
        <v>-168.76923076923072</v>
      </c>
      <c r="E48" s="139">
        <v>-168.76923076923072</v>
      </c>
      <c r="F48" s="139">
        <v>-168.76923076923072</v>
      </c>
      <c r="G48" s="139">
        <v>-168.76923076923072</v>
      </c>
      <c r="H48" s="628">
        <v>-168.76923076923072</v>
      </c>
      <c r="I48" s="32"/>
    </row>
    <row r="49" spans="2:9" x14ac:dyDescent="0.2">
      <c r="B49" s="136" t="s">
        <v>138</v>
      </c>
      <c r="D49" s="139">
        <v>-49.866666666666674</v>
      </c>
      <c r="E49" s="139">
        <v>-49.866666666666674</v>
      </c>
      <c r="F49" s="139">
        <v>-49.866666666666674</v>
      </c>
      <c r="G49" s="139">
        <v>-49.866666666666674</v>
      </c>
      <c r="H49" s="628">
        <v>-49.866666666666674</v>
      </c>
      <c r="I49" s="32"/>
    </row>
    <row r="50" spans="2:9" x14ac:dyDescent="0.2">
      <c r="B50" s="136" t="s">
        <v>139</v>
      </c>
      <c r="D50" s="139">
        <v>-7.4375</v>
      </c>
      <c r="E50" s="139">
        <v>-7.4375</v>
      </c>
      <c r="F50" s="139">
        <v>-7.4375</v>
      </c>
      <c r="G50" s="139">
        <v>-7.4375</v>
      </c>
      <c r="H50" s="628">
        <v>-7.4375</v>
      </c>
      <c r="I50" s="32"/>
    </row>
    <row r="51" spans="2:9" x14ac:dyDescent="0.2">
      <c r="B51" s="136" t="s">
        <v>140</v>
      </c>
      <c r="D51" s="139">
        <v>-30.25</v>
      </c>
      <c r="E51" s="139">
        <v>-30.25</v>
      </c>
      <c r="F51" s="139">
        <v>-30.25</v>
      </c>
      <c r="G51" s="139">
        <v>-30.25</v>
      </c>
      <c r="H51" s="628">
        <v>-30.25</v>
      </c>
      <c r="I51" s="32"/>
    </row>
    <row r="52" spans="2:9" x14ac:dyDescent="0.2">
      <c r="B52" s="136" t="s">
        <v>141</v>
      </c>
      <c r="D52" s="139">
        <v>-18.529411764705856</v>
      </c>
      <c r="E52" s="139">
        <v>-18.529411764705856</v>
      </c>
      <c r="F52" s="139">
        <v>-18.529411764705856</v>
      </c>
      <c r="G52" s="139">
        <v>-18.529411764705884</v>
      </c>
      <c r="H52" s="628">
        <v>-18.529411764705884</v>
      </c>
      <c r="I52" s="32"/>
    </row>
    <row r="53" spans="2:9" x14ac:dyDescent="0.2">
      <c r="B53" s="136" t="s">
        <v>142</v>
      </c>
      <c r="D53" s="139">
        <v>-69.952380952380963</v>
      </c>
      <c r="E53" s="139">
        <v>-69.952380952380963</v>
      </c>
      <c r="F53" s="139">
        <v>-69.952380952380963</v>
      </c>
      <c r="G53" s="139">
        <v>-69.952380952380963</v>
      </c>
      <c r="H53" s="628">
        <v>-69.952380952380963</v>
      </c>
      <c r="I53" s="32"/>
    </row>
    <row r="54" spans="2:9" x14ac:dyDescent="0.2">
      <c r="B54" s="136" t="s">
        <v>143</v>
      </c>
      <c r="D54" s="139">
        <v>-45</v>
      </c>
      <c r="E54" s="139">
        <v>-45</v>
      </c>
      <c r="F54" s="139">
        <v>-45</v>
      </c>
      <c r="G54" s="139">
        <v>-45</v>
      </c>
      <c r="H54" s="628">
        <v>-45</v>
      </c>
      <c r="I54" s="32"/>
    </row>
    <row r="55" spans="2:9" x14ac:dyDescent="0.2">
      <c r="B55" s="136" t="s">
        <v>144</v>
      </c>
      <c r="D55" s="139">
        <v>-129.21739130434798</v>
      </c>
      <c r="E55" s="139">
        <v>-129.21739130434798</v>
      </c>
      <c r="F55" s="139">
        <v>-129.21739130434798</v>
      </c>
      <c r="G55" s="139">
        <v>-129.21739130434798</v>
      </c>
      <c r="H55" s="628">
        <v>-129.21739130434798</v>
      </c>
      <c r="I55" s="32"/>
    </row>
    <row r="56" spans="2:9" x14ac:dyDescent="0.2">
      <c r="B56" s="136" t="s">
        <v>145</v>
      </c>
      <c r="D56" s="139">
        <v>-46.880000000000109</v>
      </c>
      <c r="E56" s="139">
        <v>-46.880000000000109</v>
      </c>
      <c r="F56" s="139">
        <v>-46.880000000000109</v>
      </c>
      <c r="G56" s="139">
        <v>-46.879999999999995</v>
      </c>
      <c r="H56" s="628">
        <v>-46.879999999999995</v>
      </c>
      <c r="I56" s="32"/>
    </row>
    <row r="57" spans="2:9" x14ac:dyDescent="0.2">
      <c r="B57" s="136" t="s">
        <v>146</v>
      </c>
      <c r="D57" s="139">
        <v>-54.230769230769283</v>
      </c>
      <c r="E57" s="139">
        <v>-54.230769230769283</v>
      </c>
      <c r="F57" s="139">
        <v>-54.230769230769283</v>
      </c>
      <c r="G57" s="139">
        <v>-54.230769230769283</v>
      </c>
      <c r="H57" s="628">
        <v>-54.230769230769283</v>
      </c>
      <c r="I57" s="32"/>
    </row>
    <row r="58" spans="2:9" x14ac:dyDescent="0.2">
      <c r="B58" s="136" t="s">
        <v>147</v>
      </c>
      <c r="D58" s="139">
        <v>-51.241379310344882</v>
      </c>
      <c r="E58" s="139">
        <v>-51.241379310344882</v>
      </c>
      <c r="F58" s="139">
        <v>-51.241379310344882</v>
      </c>
      <c r="G58" s="139">
        <v>-51.241379310344882</v>
      </c>
      <c r="H58" s="628">
        <v>-51.241379310344882</v>
      </c>
      <c r="I58" s="32"/>
    </row>
    <row r="59" spans="2:9" x14ac:dyDescent="0.2">
      <c r="B59" s="136" t="s">
        <v>148</v>
      </c>
      <c r="D59" s="139">
        <v>-23.709677419354875</v>
      </c>
      <c r="E59" s="139">
        <v>-23.709677419354875</v>
      </c>
      <c r="F59" s="139">
        <v>-23.709677419354875</v>
      </c>
      <c r="G59" s="139">
        <v>-23.709677419354875</v>
      </c>
      <c r="H59" s="628">
        <v>-23.709677419354875</v>
      </c>
      <c r="I59" s="32"/>
    </row>
    <row r="60" spans="2:9" x14ac:dyDescent="0.2">
      <c r="B60" s="136" t="s">
        <v>119</v>
      </c>
      <c r="D60" s="139">
        <v>-3</v>
      </c>
      <c r="E60" s="139">
        <v>-3</v>
      </c>
      <c r="F60" s="139">
        <v>-3</v>
      </c>
      <c r="G60" s="139">
        <v>-3</v>
      </c>
      <c r="H60" s="628">
        <v>-3</v>
      </c>
      <c r="I60" s="32"/>
    </row>
    <row r="61" spans="2:9" x14ac:dyDescent="0.2">
      <c r="B61" s="136" t="s">
        <v>87</v>
      </c>
      <c r="D61" s="139">
        <v>0</v>
      </c>
      <c r="E61" s="139">
        <v>0</v>
      </c>
      <c r="F61" s="139">
        <v>0</v>
      </c>
      <c r="G61" s="139">
        <v>0</v>
      </c>
      <c r="H61" s="628">
        <v>0</v>
      </c>
    </row>
    <row r="62" spans="2:9" x14ac:dyDescent="0.2">
      <c r="B62" s="136" t="s">
        <v>88</v>
      </c>
      <c r="D62" s="139">
        <v>0</v>
      </c>
      <c r="E62" s="139">
        <v>0</v>
      </c>
      <c r="F62" s="139">
        <v>0</v>
      </c>
      <c r="G62" s="139">
        <v>0</v>
      </c>
      <c r="H62" s="628">
        <v>0</v>
      </c>
    </row>
    <row r="63" spans="2:9" x14ac:dyDescent="0.2">
      <c r="B63" s="136" t="s">
        <v>89</v>
      </c>
      <c r="D63" s="139">
        <v>0</v>
      </c>
      <c r="E63" s="139">
        <v>0</v>
      </c>
      <c r="F63" s="139">
        <v>0</v>
      </c>
      <c r="G63" s="139">
        <v>0</v>
      </c>
      <c r="H63" s="628">
        <v>0</v>
      </c>
    </row>
    <row r="64" spans="2:9" x14ac:dyDescent="0.2">
      <c r="B64" s="136" t="s">
        <v>90</v>
      </c>
      <c r="D64" s="139">
        <v>0</v>
      </c>
      <c r="E64" s="139">
        <v>0</v>
      </c>
      <c r="F64" s="139">
        <v>0</v>
      </c>
      <c r="G64" s="139">
        <v>0</v>
      </c>
      <c r="H64" s="628">
        <v>0</v>
      </c>
    </row>
    <row r="65" spans="1:8" ht="16" thickBot="1" x14ac:dyDescent="0.25">
      <c r="B65" s="136" t="s">
        <v>92</v>
      </c>
      <c r="D65" s="139">
        <v>0</v>
      </c>
      <c r="E65" s="139">
        <v>0</v>
      </c>
      <c r="F65" s="139">
        <v>0</v>
      </c>
      <c r="G65" s="139">
        <v>0</v>
      </c>
      <c r="H65" s="628">
        <v>0</v>
      </c>
    </row>
    <row r="66" spans="1:8" ht="16" thickBot="1" x14ac:dyDescent="0.25">
      <c r="A66" t="s">
        <v>21</v>
      </c>
      <c r="B66" s="226" t="s">
        <v>478</v>
      </c>
      <c r="C66" s="227"/>
      <c r="D66" s="227">
        <f>SUM(D31:D65)</f>
        <v>-5347.6818460902396</v>
      </c>
      <c r="E66" s="227">
        <f t="shared" ref="E66:H66" si="2">SUM(E31:E65)</f>
        <v>-4798.6818460902396</v>
      </c>
      <c r="F66" s="227">
        <f t="shared" si="2"/>
        <v>-3628.6818460902414</v>
      </c>
      <c r="G66" s="227">
        <f t="shared" si="2"/>
        <v>-2364.6818460902405</v>
      </c>
      <c r="H66" s="607">
        <f t="shared" si="2"/>
        <v>-2115.6818460902396</v>
      </c>
    </row>
    <row r="67" spans="1:8" ht="16" thickBot="1" x14ac:dyDescent="0.25">
      <c r="B67" s="136"/>
      <c r="H67" s="138"/>
    </row>
    <row r="68" spans="1:8" ht="16" thickBot="1" x14ac:dyDescent="0.25">
      <c r="A68" t="s">
        <v>21</v>
      </c>
      <c r="B68" s="228" t="s">
        <v>156</v>
      </c>
      <c r="C68" s="530"/>
      <c r="D68" s="229">
        <f ca="1">D66+D29+D16</f>
        <v>-6455.2966054929657</v>
      </c>
      <c r="E68" s="229">
        <f t="shared" ref="E68:H68" ca="1" si="3">E66+E29+E16</f>
        <v>-2822.792575370584</v>
      </c>
      <c r="F68" s="229">
        <f t="shared" ca="1" si="3"/>
        <v>4829.7047570636678</v>
      </c>
      <c r="G68" s="229">
        <f t="shared" ca="1" si="3"/>
        <v>15310.840724250425</v>
      </c>
      <c r="H68" s="230">
        <f t="shared" ca="1" si="3"/>
        <v>18822.556395653508</v>
      </c>
    </row>
    <row r="69" spans="1:8" x14ac:dyDescent="0.2">
      <c r="B69" s="136"/>
      <c r="H69" s="138"/>
    </row>
    <row r="70" spans="1:8" x14ac:dyDescent="0.2">
      <c r="B70" s="136" t="s">
        <v>176</v>
      </c>
      <c r="D70" s="31">
        <f>C72</f>
        <v>7676</v>
      </c>
      <c r="E70" s="31">
        <f t="shared" ref="E70:H70" ca="1" si="4">D72</f>
        <v>1220.7033945070343</v>
      </c>
      <c r="F70" s="31">
        <f t="shared" ca="1" si="4"/>
        <v>-1602.0891808635497</v>
      </c>
      <c r="G70" s="31">
        <f t="shared" ca="1" si="4"/>
        <v>3227.6155762001181</v>
      </c>
      <c r="H70" s="140">
        <f t="shared" ca="1" si="4"/>
        <v>18538.456300450543</v>
      </c>
    </row>
    <row r="71" spans="1:8" ht="16" thickBot="1" x14ac:dyDescent="0.25">
      <c r="B71" s="136" t="s">
        <v>177</v>
      </c>
      <c r="D71" s="31">
        <f ca="1">D68</f>
        <v>-6455.2966054929657</v>
      </c>
      <c r="E71" s="31">
        <f t="shared" ref="E71:H71" ca="1" si="5">E68</f>
        <v>-2822.792575370584</v>
      </c>
      <c r="F71" s="31">
        <f t="shared" ca="1" si="5"/>
        <v>4829.7047570636678</v>
      </c>
      <c r="G71" s="31">
        <f t="shared" ca="1" si="5"/>
        <v>15310.840724250425</v>
      </c>
      <c r="H71" s="140">
        <f t="shared" ca="1" si="5"/>
        <v>18822.556395653508</v>
      </c>
    </row>
    <row r="72" spans="1:8" ht="16" thickBot="1" x14ac:dyDescent="0.25">
      <c r="B72" s="231" t="s">
        <v>178</v>
      </c>
      <c r="C72" s="339">
        <f>'Balance Sheet'!G5</f>
        <v>7676</v>
      </c>
      <c r="D72" s="229">
        <f ca="1">D70+D71</f>
        <v>1220.7033945070343</v>
      </c>
      <c r="E72" s="229">
        <f t="shared" ref="E72:H72" ca="1" si="6">E70+E71</f>
        <v>-1602.0891808635497</v>
      </c>
      <c r="F72" s="229">
        <f t="shared" ca="1" si="6"/>
        <v>3227.6155762001181</v>
      </c>
      <c r="G72" s="229">
        <f t="shared" ca="1" si="6"/>
        <v>18538.456300450543</v>
      </c>
      <c r="H72" s="230">
        <f t="shared" ca="1" si="6"/>
        <v>37361.012696104051</v>
      </c>
    </row>
    <row r="73" spans="1:8" x14ac:dyDescent="0.2">
      <c r="B73" s="136"/>
      <c r="H73" s="138"/>
    </row>
    <row r="74" spans="1:8" x14ac:dyDescent="0.2">
      <c r="B74" s="136" t="s">
        <v>179</v>
      </c>
      <c r="D74" s="31">
        <f>'Balance Sheet'!H5</f>
        <v>9258.8782695518221</v>
      </c>
      <c r="E74" s="31">
        <f>'Balance Sheet'!I5</f>
        <v>9420.812590399355</v>
      </c>
      <c r="F74" s="31">
        <f>'Balance Sheet'!J5</f>
        <v>9341.6392940689511</v>
      </c>
      <c r="G74" s="31">
        <f>'Balance Sheet'!K5</f>
        <v>9094.1538817407345</v>
      </c>
      <c r="H74" s="140">
        <f>'Balance Sheet'!L5</f>
        <v>9851.1119930573095</v>
      </c>
    </row>
    <row r="75" spans="1:8" ht="16" thickBot="1" x14ac:dyDescent="0.25">
      <c r="A75" t="s">
        <v>21</v>
      </c>
      <c r="B75" s="210" t="s">
        <v>180</v>
      </c>
      <c r="C75" s="113"/>
      <c r="D75" s="114">
        <f ca="1">D72-D74</f>
        <v>-8038.1748750447878</v>
      </c>
      <c r="E75" s="114">
        <f t="shared" ref="E75:H75" ca="1" si="7">E72-E74</f>
        <v>-11022.901771262905</v>
      </c>
      <c r="F75" s="114">
        <f t="shared" ca="1" si="7"/>
        <v>-6114.023717868833</v>
      </c>
      <c r="G75" s="114">
        <f t="shared" ca="1" si="7"/>
        <v>9444.302418709809</v>
      </c>
      <c r="H75" s="151">
        <f t="shared" ca="1" si="7"/>
        <v>27509.90070304674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83F3-A0A7-42EA-A848-5DC9926502AD}">
  <dimension ref="A1:N98"/>
  <sheetViews>
    <sheetView showGridLines="0" zoomScale="96" zoomScaleNormal="96" workbookViewId="0"/>
  </sheetViews>
  <sheetFormatPr baseColWidth="10" defaultColWidth="15.5" defaultRowHeight="15" customHeight="1" x14ac:dyDescent="0.2"/>
  <cols>
    <col min="1" max="1" width="2.5" customWidth="1"/>
    <col min="2" max="2" width="50.5" customWidth="1"/>
  </cols>
  <sheetData>
    <row r="1" spans="1:12" ht="15" customHeight="1" thickBot="1" x14ac:dyDescent="0.25"/>
    <row r="2" spans="1:12" ht="15" customHeight="1" x14ac:dyDescent="0.2">
      <c r="B2" s="457" t="s">
        <v>3</v>
      </c>
      <c r="C2" s="458" t="s">
        <v>12</v>
      </c>
      <c r="D2" s="458"/>
      <c r="E2" s="458"/>
      <c r="F2" s="458"/>
      <c r="G2" s="458"/>
      <c r="H2" s="458" t="s">
        <v>14</v>
      </c>
      <c r="I2" s="458"/>
      <c r="J2" s="458"/>
      <c r="K2" s="458"/>
      <c r="L2" s="459"/>
    </row>
    <row r="3" spans="1:12" ht="15" customHeight="1" x14ac:dyDescent="0.2">
      <c r="B3" s="460" t="s">
        <v>112</v>
      </c>
      <c r="C3" s="95">
        <v>2021</v>
      </c>
      <c r="D3" s="95">
        <v>2022</v>
      </c>
      <c r="E3" s="95">
        <v>2023</v>
      </c>
      <c r="F3" s="95">
        <v>2024</v>
      </c>
      <c r="G3" s="95">
        <v>2025</v>
      </c>
      <c r="H3" s="95">
        <v>2026</v>
      </c>
      <c r="I3" s="95">
        <v>2027</v>
      </c>
      <c r="J3" s="95">
        <v>2028</v>
      </c>
      <c r="K3" s="95">
        <v>2029</v>
      </c>
      <c r="L3" s="144">
        <v>2030</v>
      </c>
    </row>
    <row r="4" spans="1:12" ht="15" customHeight="1" x14ac:dyDescent="0.2">
      <c r="A4" t="s">
        <v>21</v>
      </c>
      <c r="B4" s="145" t="s">
        <v>181</v>
      </c>
      <c r="C4" s="55"/>
      <c r="D4" s="55"/>
      <c r="E4" s="55"/>
      <c r="F4" s="55"/>
      <c r="G4" s="55"/>
      <c r="H4" s="55"/>
      <c r="I4" s="55"/>
      <c r="J4" s="55"/>
      <c r="K4" s="55"/>
      <c r="L4" s="146"/>
    </row>
    <row r="5" spans="1:12" ht="15" customHeight="1" x14ac:dyDescent="0.2">
      <c r="B5" s="136" t="s">
        <v>182</v>
      </c>
      <c r="C5" s="139">
        <v>28575</v>
      </c>
      <c r="D5" s="31">
        <f>C9</f>
        <v>32593</v>
      </c>
      <c r="E5" s="31">
        <f t="shared" ref="E5:G5" si="0">D9</f>
        <v>37874</v>
      </c>
      <c r="F5" s="31">
        <f t="shared" si="0"/>
        <v>41652</v>
      </c>
      <c r="G5" s="31">
        <f t="shared" si="0"/>
        <v>43519</v>
      </c>
      <c r="H5" s="31">
        <f>G9</f>
        <v>47865</v>
      </c>
      <c r="I5" s="31">
        <f ca="1">H9</f>
        <v>51876.584273199609</v>
      </c>
      <c r="J5" s="31">
        <f ca="1">I9</f>
        <v>60372.402120225539</v>
      </c>
      <c r="K5" s="31">
        <f ca="1">J9</f>
        <v>75236.732560792574</v>
      </c>
      <c r="L5" s="140">
        <f ca="1">K9</f>
        <v>99399.82577318314</v>
      </c>
    </row>
    <row r="6" spans="1:12" ht="15" customHeight="1" x14ac:dyDescent="0.2">
      <c r="B6" s="136" t="s">
        <v>158</v>
      </c>
      <c r="C6" s="31">
        <f>'Income Statement'!C54</f>
        <v>5365</v>
      </c>
      <c r="D6" s="31">
        <f>'Income Statement'!D54</f>
        <v>6668</v>
      </c>
      <c r="E6" s="31">
        <f>'Income Statement'!E54</f>
        <v>5164</v>
      </c>
      <c r="F6" s="31">
        <f>'Income Statement'!F54</f>
        <v>3434</v>
      </c>
      <c r="G6" s="31">
        <f>'Income Statement'!G54</f>
        <v>5957</v>
      </c>
      <c r="H6" s="31">
        <f ca="1">'Income Statement'!H54</f>
        <v>4011.584273199609</v>
      </c>
      <c r="I6" s="31">
        <f ca="1">'Income Statement'!I54</f>
        <v>8495.81784702593</v>
      </c>
      <c r="J6" s="31">
        <f ca="1">'Income Statement'!J54</f>
        <v>14864.330440567031</v>
      </c>
      <c r="K6" s="31">
        <f ca="1">'Income Statement'!K54</f>
        <v>24163.09321239057</v>
      </c>
      <c r="L6" s="140">
        <f ca="1">'Income Statement'!L54</f>
        <v>26576.419291326532</v>
      </c>
    </row>
    <row r="7" spans="1:12" ht="15" customHeight="1" x14ac:dyDescent="0.2">
      <c r="B7" s="136" t="s">
        <v>183</v>
      </c>
      <c r="C7" s="139">
        <v>-1347</v>
      </c>
      <c r="D7" s="139">
        <v>-1387</v>
      </c>
      <c r="E7" s="139">
        <v>-1452</v>
      </c>
      <c r="F7" s="139">
        <v>-1567</v>
      </c>
      <c r="G7" s="139">
        <v>-1611</v>
      </c>
      <c r="H7" s="31"/>
      <c r="I7" s="31"/>
      <c r="J7" s="31"/>
      <c r="K7" s="31"/>
      <c r="L7" s="31"/>
    </row>
    <row r="8" spans="1:12" ht="15" customHeight="1" x14ac:dyDescent="0.2">
      <c r="B8" s="136" t="s">
        <v>184</v>
      </c>
      <c r="C8" s="139">
        <v>0</v>
      </c>
      <c r="D8" s="139">
        <v>0</v>
      </c>
      <c r="E8" s="139">
        <v>66</v>
      </c>
      <c r="F8" s="139">
        <v>0</v>
      </c>
      <c r="G8" s="139">
        <v>0</v>
      </c>
      <c r="H8" s="31">
        <f t="shared" ref="H8:L8" si="1">G8</f>
        <v>0</v>
      </c>
      <c r="I8" s="31">
        <f t="shared" si="1"/>
        <v>0</v>
      </c>
      <c r="J8" s="31">
        <f t="shared" si="1"/>
        <v>0</v>
      </c>
      <c r="K8" s="31">
        <f t="shared" si="1"/>
        <v>0</v>
      </c>
      <c r="L8" s="140">
        <f t="shared" si="1"/>
        <v>0</v>
      </c>
    </row>
    <row r="9" spans="1:12" ht="15" customHeight="1" x14ac:dyDescent="0.2">
      <c r="B9" s="152" t="s">
        <v>185</v>
      </c>
      <c r="C9" s="166">
        <f>SUM(C5:C7)</f>
        <v>32593</v>
      </c>
      <c r="D9" s="166">
        <f>SUM(D5:D7)</f>
        <v>37874</v>
      </c>
      <c r="E9" s="166">
        <f>SUM(E5:E8)</f>
        <v>41652</v>
      </c>
      <c r="F9" s="166">
        <f t="shared" ref="F9:L9" si="2">SUM(F5:F7)</f>
        <v>43519</v>
      </c>
      <c r="G9" s="166">
        <f t="shared" si="2"/>
        <v>47865</v>
      </c>
      <c r="H9" s="166">
        <f t="shared" ca="1" si="2"/>
        <v>51876.584273199609</v>
      </c>
      <c r="I9" s="166">
        <f t="shared" ca="1" si="2"/>
        <v>60372.402120225539</v>
      </c>
      <c r="J9" s="166">
        <f t="shared" ca="1" si="2"/>
        <v>75236.732560792574</v>
      </c>
      <c r="K9" s="166">
        <f t="shared" ca="1" si="2"/>
        <v>99399.82577318314</v>
      </c>
      <c r="L9" s="167">
        <f t="shared" ca="1" si="2"/>
        <v>125976.24506450967</v>
      </c>
    </row>
    <row r="10" spans="1:12" ht="15" customHeight="1" x14ac:dyDescent="0.2">
      <c r="B10" s="153" t="s">
        <v>186</v>
      </c>
      <c r="C10" s="168">
        <f>'Balance Sheet'!C75</f>
        <v>32593</v>
      </c>
      <c r="D10" s="168">
        <f>'Balance Sheet'!D75</f>
        <v>37874</v>
      </c>
      <c r="E10" s="168">
        <f>'Balance Sheet'!E75</f>
        <v>41652</v>
      </c>
      <c r="F10" s="168">
        <f>'Balance Sheet'!F75</f>
        <v>43519</v>
      </c>
      <c r="G10" s="168">
        <f>'Balance Sheet'!G75</f>
        <v>47865</v>
      </c>
      <c r="H10" s="603">
        <f>G7/'Income Statement'!G54</f>
        <v>-0.27043814000335742</v>
      </c>
      <c r="I10" s="603"/>
      <c r="J10" s="603"/>
      <c r="K10" s="603"/>
      <c r="L10" s="604"/>
    </row>
    <row r="11" spans="1:12" ht="15" customHeight="1" x14ac:dyDescent="0.2">
      <c r="B11" s="136"/>
      <c r="L11" s="138"/>
    </row>
    <row r="12" spans="1:12" ht="15" customHeight="1" x14ac:dyDescent="0.2">
      <c r="A12" t="s">
        <v>21</v>
      </c>
      <c r="B12" s="145" t="s">
        <v>187</v>
      </c>
      <c r="C12" s="55"/>
      <c r="D12" s="55"/>
      <c r="E12" s="55"/>
      <c r="F12" s="55"/>
      <c r="G12" s="55"/>
      <c r="H12" s="55"/>
      <c r="I12" s="55"/>
      <c r="J12" s="55"/>
      <c r="K12" s="55"/>
      <c r="L12" s="146"/>
    </row>
    <row r="13" spans="1:12" ht="15" customHeight="1" x14ac:dyDescent="0.2">
      <c r="B13" s="136" t="s">
        <v>182</v>
      </c>
      <c r="C13" s="139">
        <v>4205</v>
      </c>
      <c r="D13" s="31">
        <f>C16</f>
        <v>3984</v>
      </c>
      <c r="E13" s="31">
        <f>D16</f>
        <v>3948</v>
      </c>
      <c r="F13" s="31">
        <f t="shared" ref="F13:L13" si="3">E16</f>
        <v>4305</v>
      </c>
      <c r="G13" s="31">
        <f t="shared" si="3"/>
        <v>4379</v>
      </c>
      <c r="H13" s="31">
        <f t="shared" si="3"/>
        <v>4299</v>
      </c>
      <c r="I13" s="31">
        <f t="shared" si="3"/>
        <v>4321.6993148036563</v>
      </c>
      <c r="J13" s="31">
        <f t="shared" si="3"/>
        <v>4326.5317172684345</v>
      </c>
      <c r="K13" s="31">
        <f t="shared" si="3"/>
        <v>4226.9420899372708</v>
      </c>
      <c r="L13" s="140">
        <f t="shared" si="3"/>
        <v>3951.0496403913007</v>
      </c>
    </row>
    <row r="14" spans="1:12" ht="15" customHeight="1" x14ac:dyDescent="0.2">
      <c r="B14" s="136" t="s">
        <v>57</v>
      </c>
      <c r="C14" s="139">
        <v>1154</v>
      </c>
      <c r="D14" s="139">
        <v>1295</v>
      </c>
      <c r="E14" s="139">
        <v>1573</v>
      </c>
      <c r="F14" s="139">
        <v>1406</v>
      </c>
      <c r="G14" s="139">
        <v>1212</v>
      </c>
      <c r="H14" s="32">
        <f>'Income Statement'!H38*AVERAGE(Assumptions!C52:G52)</f>
        <v>1972.5859382959907</v>
      </c>
      <c r="I14" s="32">
        <f>'Income Statement'!I38*AVERAGE(Assumptions!D52:H52)</f>
        <v>2169.1844881250981</v>
      </c>
      <c r="J14" s="32">
        <f>'Income Statement'!J38*AVERAGE(Assumptions!E52:I52)</f>
        <v>2261.1893315062075</v>
      </c>
      <c r="K14" s="32">
        <f>'Income Statement'!K38*AVERAGE(Assumptions!F52:J52)</f>
        <v>2277.7025598050564</v>
      </c>
      <c r="L14" s="141">
        <f>'Income Statement'!L38*AVERAGE(Assumptions!G52:K52)</f>
        <v>2459.3759725738914</v>
      </c>
    </row>
    <row r="15" spans="1:12" ht="15" customHeight="1" x14ac:dyDescent="0.2">
      <c r="B15" s="136" t="s">
        <v>56</v>
      </c>
      <c r="C15" s="139">
        <f>1097+253+25</f>
        <v>1375</v>
      </c>
      <c r="D15" s="139">
        <f>1068+251+12</f>
        <v>1331</v>
      </c>
      <c r="E15" s="139">
        <f>3035-'Income Statement'!E43</f>
        <v>1216</v>
      </c>
      <c r="F15" s="139">
        <f>3035-'Income Statement'!F43</f>
        <v>1332</v>
      </c>
      <c r="G15" s="139">
        <f>3035-'Income Statement'!G43</f>
        <v>1292</v>
      </c>
      <c r="H15" s="32">
        <f>Assumptions!L51*'Income Statement'!H38</f>
        <v>1949.8866234923348</v>
      </c>
      <c r="I15" s="32">
        <f>Assumptions!M51*'Income Statement'!I38</f>
        <v>2164.35208566032</v>
      </c>
      <c r="J15" s="32">
        <f>Assumptions!N51*'Income Statement'!J38</f>
        <v>2360.7789588373707</v>
      </c>
      <c r="K15" s="32">
        <f>Assumptions!O51*'Income Statement'!K38</f>
        <v>2553.5950093510269</v>
      </c>
      <c r="L15" s="32">
        <f>Assumptions!P51*'Income Statement'!L38</f>
        <v>2766.1452345266525</v>
      </c>
    </row>
    <row r="16" spans="1:12" ht="15" customHeight="1" x14ac:dyDescent="0.2">
      <c r="B16" s="152" t="s">
        <v>185</v>
      </c>
      <c r="C16" s="171">
        <f t="shared" ref="C16:L16" si="4">C13+C14-C15</f>
        <v>3984</v>
      </c>
      <c r="D16" s="171">
        <f t="shared" si="4"/>
        <v>3948</v>
      </c>
      <c r="E16" s="171">
        <f t="shared" si="4"/>
        <v>4305</v>
      </c>
      <c r="F16" s="171">
        <f t="shared" si="4"/>
        <v>4379</v>
      </c>
      <c r="G16" s="171">
        <f t="shared" si="4"/>
        <v>4299</v>
      </c>
      <c r="H16" s="171">
        <f t="shared" si="4"/>
        <v>4321.6993148036563</v>
      </c>
      <c r="I16" s="171">
        <f t="shared" si="4"/>
        <v>4326.5317172684345</v>
      </c>
      <c r="J16" s="171">
        <f t="shared" si="4"/>
        <v>4226.9420899372708</v>
      </c>
      <c r="K16" s="171">
        <f t="shared" si="4"/>
        <v>3951.0496403913007</v>
      </c>
      <c r="L16" s="172">
        <f t="shared" si="4"/>
        <v>3644.2803784385396</v>
      </c>
    </row>
    <row r="17" spans="1:14" ht="15" customHeight="1" x14ac:dyDescent="0.2">
      <c r="B17" s="153" t="s">
        <v>186</v>
      </c>
      <c r="C17" s="168">
        <f>'Balance Sheet'!C15</f>
        <v>3692</v>
      </c>
      <c r="D17" s="168">
        <f>'Balance Sheet'!D15</f>
        <v>3774</v>
      </c>
      <c r="E17" s="168">
        <f>'Balance Sheet'!E15</f>
        <v>3695</v>
      </c>
      <c r="F17" s="168">
        <f>'Balance Sheet'!F15</f>
        <v>3654</v>
      </c>
      <c r="G17" s="168">
        <f>'Balance Sheet'!G15</f>
        <v>3651</v>
      </c>
      <c r="H17" s="169"/>
      <c r="I17" s="169"/>
      <c r="J17" s="169"/>
      <c r="K17" s="169"/>
      <c r="L17" s="170"/>
    </row>
    <row r="18" spans="1:14" ht="15" customHeight="1" x14ac:dyDescent="0.2">
      <c r="B18" s="136"/>
      <c r="C18" s="32"/>
      <c r="D18" s="32"/>
      <c r="E18" s="32"/>
      <c r="F18" s="32"/>
      <c r="G18" s="611">
        <f>G15/'Income Statement'!G38</f>
        <v>4.6998908694070567E-3</v>
      </c>
      <c r="H18" s="32"/>
      <c r="I18" s="32"/>
      <c r="J18" s="32"/>
      <c r="K18" s="32"/>
      <c r="L18" s="141"/>
    </row>
    <row r="19" spans="1:14" ht="15" customHeight="1" x14ac:dyDescent="0.2">
      <c r="A19" t="s">
        <v>21</v>
      </c>
      <c r="B19" s="147" t="s">
        <v>188</v>
      </c>
      <c r="C19" s="148"/>
      <c r="D19" s="148"/>
      <c r="E19" s="148"/>
      <c r="F19" s="148"/>
      <c r="G19" s="148"/>
      <c r="H19" s="148"/>
      <c r="I19" s="148"/>
      <c r="J19" s="148"/>
      <c r="K19" s="148"/>
      <c r="L19" s="149"/>
    </row>
    <row r="20" spans="1:14" ht="15" customHeight="1" x14ac:dyDescent="0.2">
      <c r="B20" s="137" t="s">
        <v>189</v>
      </c>
      <c r="C20" s="142"/>
      <c r="D20" s="142"/>
      <c r="E20" s="142"/>
      <c r="F20" s="142"/>
      <c r="G20" s="142"/>
      <c r="H20" s="142"/>
      <c r="I20" s="142"/>
      <c r="J20" s="142"/>
      <c r="K20" s="142"/>
      <c r="L20" s="143"/>
    </row>
    <row r="21" spans="1:14" ht="15" customHeight="1" x14ac:dyDescent="0.2">
      <c r="B21" s="136" t="s">
        <v>159</v>
      </c>
      <c r="C21" s="173">
        <f>'Balance Sheet'!C8</f>
        <v>15071</v>
      </c>
      <c r="D21" s="173">
        <f>'Balance Sheet'!D8</f>
        <v>17218</v>
      </c>
      <c r="E21" s="173">
        <f>'Balance Sheet'!E8</f>
        <v>17722</v>
      </c>
      <c r="F21" s="173">
        <f>'Balance Sheet'!F8</f>
        <v>24227</v>
      </c>
      <c r="G21" s="173">
        <f>'Balance Sheet'!G8</f>
        <v>28768</v>
      </c>
      <c r="H21" s="173">
        <f>'Balance Sheet'!H8</f>
        <v>29319.781186914104</v>
      </c>
      <c r="I21" s="173">
        <f>'Balance Sheet'!I8</f>
        <v>33401.062820506806</v>
      </c>
      <c r="J21" s="173">
        <f>'Balance Sheet'!J8</f>
        <v>37366.557176275805</v>
      </c>
      <c r="K21" s="173">
        <f>'Balance Sheet'!K8</f>
        <v>41428.923239041127</v>
      </c>
      <c r="L21" s="174">
        <f>'Balance Sheet'!L8</f>
        <v>44877.287968372191</v>
      </c>
    </row>
    <row r="22" spans="1:14" ht="15" customHeight="1" x14ac:dyDescent="0.2">
      <c r="B22" s="136" t="s">
        <v>64</v>
      </c>
      <c r="C22" s="173">
        <f>'Balance Sheet'!C9</f>
        <v>3722</v>
      </c>
      <c r="D22" s="173">
        <f>'Balance Sheet'!D9</f>
        <v>4777</v>
      </c>
      <c r="E22" s="173">
        <f>'Balance Sheet'!E9</f>
        <v>5645</v>
      </c>
      <c r="F22" s="173">
        <f>'Balance Sheet'!F9</f>
        <v>6692</v>
      </c>
      <c r="G22" s="173">
        <f>'Balance Sheet'!G9</f>
        <v>7338</v>
      </c>
      <c r="H22" s="173">
        <f>'Balance Sheet'!H9</f>
        <v>7129.3362675549033</v>
      </c>
      <c r="I22" s="173">
        <f>'Balance Sheet'!I9</f>
        <v>8331.4240799459039</v>
      </c>
      <c r="J22" s="173">
        <f>'Balance Sheet'!J9</f>
        <v>9528.4720799503302</v>
      </c>
      <c r="K22" s="173">
        <f>'Balance Sheet'!K9</f>
        <v>10767.478195981028</v>
      </c>
      <c r="L22" s="174">
        <f>'Balance Sheet'!L9</f>
        <v>12145.326519440436</v>
      </c>
    </row>
    <row r="23" spans="1:14" ht="15" customHeight="1" x14ac:dyDescent="0.2">
      <c r="B23" s="136" t="s">
        <v>61</v>
      </c>
      <c r="C23" s="173">
        <f>'Balance Sheet'!C7</f>
        <v>920</v>
      </c>
      <c r="D23" s="173">
        <f>'Balance Sheet'!D7</f>
        <v>905</v>
      </c>
      <c r="E23" s="173">
        <f>'Balance Sheet'!E7</f>
        <v>925</v>
      </c>
      <c r="F23" s="173">
        <f>'Balance Sheet'!F7</f>
        <v>665</v>
      </c>
      <c r="G23" s="173">
        <f>'Balance Sheet'!G7</f>
        <v>1056</v>
      </c>
      <c r="H23" s="173">
        <f>'Balance Sheet'!H7</f>
        <v>925.88782695518216</v>
      </c>
      <c r="I23" s="173">
        <f>'Balance Sheet'!I7</f>
        <v>1199.0125115053727</v>
      </c>
      <c r="J23" s="173">
        <f>'Balance Sheet'!J7</f>
        <v>1307.829501169653</v>
      </c>
      <c r="K23" s="173">
        <f>'Balance Sheet'!K7</f>
        <v>1616.7384678650196</v>
      </c>
      <c r="L23" s="173">
        <f>'Balance Sheet'!L7</f>
        <v>1751.3087987657441</v>
      </c>
    </row>
    <row r="24" spans="1:14" ht="15" customHeight="1" x14ac:dyDescent="0.2">
      <c r="B24" s="136" t="s">
        <v>190</v>
      </c>
      <c r="C24" s="175">
        <f>'Balance Sheet'!C10</f>
        <v>1283</v>
      </c>
      <c r="D24" s="175">
        <f>'Balance Sheet'!D10</f>
        <v>1296</v>
      </c>
      <c r="E24" s="175">
        <f>'Balance Sheet'!E10</f>
        <v>2169</v>
      </c>
      <c r="F24" s="175">
        <f>'Balance Sheet'!F10</f>
        <v>2732</v>
      </c>
      <c r="G24" s="175">
        <f>'Balance Sheet'!G10</f>
        <v>2976</v>
      </c>
      <c r="H24" s="175">
        <f>'Balance Sheet'!H10</f>
        <v>3086.292756517274</v>
      </c>
      <c r="I24" s="175">
        <f>'Balance Sheet'!I10</f>
        <v>3528.5225338586679</v>
      </c>
      <c r="J24" s="175">
        <f>'Balance Sheet'!J10</f>
        <v>3960.855060685235</v>
      </c>
      <c r="K24" s="175">
        <f>'Balance Sheet'!K10</f>
        <v>4405.6123249321781</v>
      </c>
      <c r="L24" s="176">
        <f>'Balance Sheet'!L10</f>
        <v>4903.6646365440838</v>
      </c>
    </row>
    <row r="25" spans="1:14" ht="15" customHeight="1" x14ac:dyDescent="0.2">
      <c r="A25" t="s">
        <v>21</v>
      </c>
      <c r="B25" s="156" t="s">
        <v>191</v>
      </c>
      <c r="C25" s="177">
        <f t="shared" ref="C25:L25" si="5">SUM(C21:C24)</f>
        <v>20996</v>
      </c>
      <c r="D25" s="177">
        <f t="shared" si="5"/>
        <v>24196</v>
      </c>
      <c r="E25" s="177">
        <f t="shared" si="5"/>
        <v>26461</v>
      </c>
      <c r="F25" s="177">
        <f t="shared" si="5"/>
        <v>34316</v>
      </c>
      <c r="G25" s="177">
        <f t="shared" si="5"/>
        <v>40138</v>
      </c>
      <c r="H25" s="177">
        <f t="shared" si="5"/>
        <v>40461.298037941458</v>
      </c>
      <c r="I25" s="177">
        <f t="shared" si="5"/>
        <v>46460.021945816756</v>
      </c>
      <c r="J25" s="177">
        <f t="shared" si="5"/>
        <v>52163.713818081022</v>
      </c>
      <c r="K25" s="177">
        <f t="shared" si="5"/>
        <v>58218.75222781935</v>
      </c>
      <c r="L25" s="178">
        <f t="shared" si="5"/>
        <v>63677.587923122454</v>
      </c>
    </row>
    <row r="26" spans="1:14" ht="15" customHeight="1" x14ac:dyDescent="0.2">
      <c r="B26" s="136"/>
      <c r="C26" s="179"/>
      <c r="D26" s="179"/>
      <c r="E26" s="179"/>
      <c r="F26" s="179"/>
      <c r="G26" s="179"/>
      <c r="H26" s="179"/>
      <c r="I26" s="179"/>
      <c r="J26" s="179"/>
      <c r="K26" s="179"/>
      <c r="L26" s="180"/>
    </row>
    <row r="27" spans="1:14" ht="15" customHeight="1" x14ac:dyDescent="0.2">
      <c r="A27" t="s">
        <v>21</v>
      </c>
      <c r="B27" s="137" t="s">
        <v>192</v>
      </c>
      <c r="C27" s="179"/>
      <c r="D27" s="179"/>
      <c r="E27" s="179"/>
      <c r="F27" s="179"/>
      <c r="G27" s="179"/>
      <c r="H27" s="179"/>
      <c r="I27" s="179"/>
      <c r="J27" s="179"/>
      <c r="K27" s="179"/>
      <c r="L27" s="180"/>
      <c r="N27" s="20"/>
    </row>
    <row r="28" spans="1:14" ht="15" customHeight="1" x14ac:dyDescent="0.2">
      <c r="B28" s="136" t="s">
        <v>193</v>
      </c>
      <c r="C28" s="181">
        <f>'Balance Sheet'!C23</f>
        <v>5318</v>
      </c>
      <c r="D28" s="181">
        <f>'Balance Sheet'!D23</f>
        <v>5385</v>
      </c>
      <c r="E28" s="181">
        <f>'Balance Sheet'!E23</f>
        <v>5514</v>
      </c>
      <c r="F28" s="181">
        <f>'Balance Sheet'!F23</f>
        <v>5388</v>
      </c>
      <c r="G28" s="181">
        <f>'Balance Sheet'!G23</f>
        <v>5710</v>
      </c>
      <c r="H28" s="181">
        <f>'Balance Sheet'!H23</f>
        <v>6326.9001508604115</v>
      </c>
      <c r="I28" s="181">
        <f>'Balance Sheet'!I23</f>
        <v>6851.5000657449864</v>
      </c>
      <c r="J28" s="181">
        <f>'Balance Sheet'!J23</f>
        <v>7286.4786493737811</v>
      </c>
      <c r="K28" s="181">
        <f>'Balance Sheet'!K23</f>
        <v>7679.5077223588423</v>
      </c>
      <c r="L28" s="182">
        <f>'Balance Sheet'!L23</f>
        <v>8318.7167941372845</v>
      </c>
      <c r="N28" s="20"/>
    </row>
    <row r="29" spans="1:14" ht="15" customHeight="1" x14ac:dyDescent="0.2">
      <c r="B29" s="136" t="s">
        <v>77</v>
      </c>
      <c r="C29" s="181">
        <f>'Balance Sheet'!C24</f>
        <v>15309</v>
      </c>
      <c r="D29" s="181">
        <f>'Balance Sheet'!D24</f>
        <v>17070</v>
      </c>
      <c r="E29" s="181">
        <f>'Balance Sheet'!E24</f>
        <v>19815</v>
      </c>
      <c r="F29" s="181">
        <f>'Balance Sheet'!F24</f>
        <v>28465</v>
      </c>
      <c r="G29" s="181">
        <f>'Balance Sheet'!G24</f>
        <v>30333</v>
      </c>
      <c r="H29" s="181">
        <f>'Balance Sheet'!H24</f>
        <v>31449.323188911025</v>
      </c>
      <c r="I29" s="181">
        <f>'Balance Sheet'!I24</f>
        <v>34908.392834970706</v>
      </c>
      <c r="J29" s="181">
        <f>'Balance Sheet'!J24</f>
        <v>38076.521762625045</v>
      </c>
      <c r="K29" s="181">
        <f>'Balance Sheet'!K24</f>
        <v>41186.412468861374</v>
      </c>
      <c r="L29" s="182">
        <f>'Balance Sheet'!L24</f>
        <v>44614.591648557333</v>
      </c>
      <c r="N29" s="20"/>
    </row>
    <row r="30" spans="1:14" ht="15" customHeight="1" x14ac:dyDescent="0.2">
      <c r="B30" s="136" t="s">
        <v>78</v>
      </c>
      <c r="C30" s="181">
        <f>'Balance Sheet'!C25</f>
        <v>6655</v>
      </c>
      <c r="D30" s="181">
        <f>'Balance Sheet'!D25</f>
        <v>7775</v>
      </c>
      <c r="E30" s="181">
        <f>'Balance Sheet'!E25</f>
        <v>8553</v>
      </c>
      <c r="F30" s="181">
        <f>'Balance Sheet'!F25</f>
        <v>9294</v>
      </c>
      <c r="G30" s="181">
        <f>'Balance Sheet'!G25</f>
        <v>10659</v>
      </c>
      <c r="H30" s="181">
        <f>'Balance Sheet'!H25</f>
        <v>9505.781690073205</v>
      </c>
      <c r="I30" s="181">
        <f>'Balance Sheet'!I25</f>
        <v>10674.637102430688</v>
      </c>
      <c r="J30" s="181">
        <f>'Balance Sheet'!J25</f>
        <v>11770.465510526878</v>
      </c>
      <c r="K30" s="181">
        <f>'Balance Sheet'!K25</f>
        <v>12861.154511866229</v>
      </c>
      <c r="L30" s="182">
        <f>'Balance Sheet'!L25</f>
        <v>14063.009654088924</v>
      </c>
    </row>
    <row r="31" spans="1:14" ht="15" customHeight="1" x14ac:dyDescent="0.2">
      <c r="B31" s="136" t="s">
        <v>194</v>
      </c>
      <c r="C31" s="181">
        <f>'Balance Sheet'!C27</f>
        <v>7322</v>
      </c>
      <c r="D31" s="181">
        <f>'Balance Sheet'!D27</f>
        <v>8006</v>
      </c>
      <c r="E31" s="181">
        <f>'Balance Sheet'!E27</f>
        <v>9955</v>
      </c>
      <c r="F31" s="181">
        <f>'Balance Sheet'!F27</f>
        <v>9387</v>
      </c>
      <c r="G31" s="181">
        <f>'Balance Sheet'!G27</f>
        <v>9048</v>
      </c>
      <c r="H31" s="181">
        <f>'Balance Sheet'!H27</f>
        <v>12345.171026069096</v>
      </c>
      <c r="I31" s="181">
        <f>'Balance Sheet'!I27</f>
        <v>13703.000131489973</v>
      </c>
      <c r="J31" s="181">
        <f>'Balance Sheet'!J27</f>
        <v>14946.62287051032</v>
      </c>
      <c r="K31" s="181">
        <f>'Balance Sheet'!K27</f>
        <v>16167.384678650196</v>
      </c>
      <c r="L31" s="182">
        <f>'Balance Sheet'!L27</f>
        <v>17513.08798765744</v>
      </c>
      <c r="N31" s="20"/>
    </row>
    <row r="32" spans="1:14" ht="15" customHeight="1" x14ac:dyDescent="0.2">
      <c r="B32" s="136" t="s">
        <v>80</v>
      </c>
      <c r="C32" s="175">
        <f>'Balance Sheet'!C31</f>
        <v>6423</v>
      </c>
      <c r="D32" s="175">
        <f>'Balance Sheet'!D31</f>
        <v>0</v>
      </c>
      <c r="E32" s="175">
        <f>'Balance Sheet'!E31</f>
        <v>2104</v>
      </c>
      <c r="F32" s="175">
        <f>'Balance Sheet'!F31</f>
        <v>2410</v>
      </c>
      <c r="G32" s="175">
        <f>'Balance Sheet'!G31</f>
        <v>0</v>
      </c>
      <c r="H32" s="175">
        <f>'Balance Sheet'!H31</f>
        <v>0</v>
      </c>
      <c r="I32" s="175">
        <f>'Balance Sheet'!I31</f>
        <v>0</v>
      </c>
      <c r="J32" s="175">
        <f>'Balance Sheet'!J31</f>
        <v>0</v>
      </c>
      <c r="K32" s="175">
        <f>'Balance Sheet'!K31</f>
        <v>0</v>
      </c>
      <c r="L32" s="176">
        <f>'Balance Sheet'!L31</f>
        <v>0</v>
      </c>
      <c r="N32" s="20"/>
    </row>
    <row r="33" spans="1:14" ht="15" customHeight="1" x14ac:dyDescent="0.2">
      <c r="A33" t="s">
        <v>21</v>
      </c>
      <c r="B33" s="156" t="s">
        <v>195</v>
      </c>
      <c r="C33" s="177">
        <f>SUM(C28:C32)</f>
        <v>41027</v>
      </c>
      <c r="D33" s="177">
        <f t="shared" ref="D33:L33" si="6">SUM(D28:D32)</f>
        <v>38236</v>
      </c>
      <c r="E33" s="177">
        <f t="shared" si="6"/>
        <v>45941</v>
      </c>
      <c r="F33" s="177">
        <f t="shared" si="6"/>
        <v>54944</v>
      </c>
      <c r="G33" s="177">
        <f t="shared" si="6"/>
        <v>55750</v>
      </c>
      <c r="H33" s="177">
        <f t="shared" si="6"/>
        <v>59627.17605591374</v>
      </c>
      <c r="I33" s="177">
        <f t="shared" si="6"/>
        <v>66137.530134636356</v>
      </c>
      <c r="J33" s="177">
        <f t="shared" si="6"/>
        <v>72080.088793036033</v>
      </c>
      <c r="K33" s="177">
        <f t="shared" si="6"/>
        <v>77894.45938173664</v>
      </c>
      <c r="L33" s="178">
        <f t="shared" si="6"/>
        <v>84509.406084440969</v>
      </c>
      <c r="N33" s="20"/>
    </row>
    <row r="34" spans="1:14" ht="15" customHeight="1" x14ac:dyDescent="0.2">
      <c r="B34" s="136"/>
      <c r="C34" s="179"/>
      <c r="D34" s="179"/>
      <c r="E34" s="179"/>
      <c r="F34" s="179"/>
      <c r="G34" s="179"/>
      <c r="H34" s="179"/>
      <c r="I34" s="179"/>
      <c r="J34" s="179"/>
      <c r="K34" s="179"/>
      <c r="L34" s="180"/>
    </row>
    <row r="35" spans="1:14" ht="15" customHeight="1" x14ac:dyDescent="0.2">
      <c r="B35" s="136" t="s">
        <v>196</v>
      </c>
      <c r="C35" s="179"/>
      <c r="D35" s="183">
        <f>-(D25-C25)</f>
        <v>-3200</v>
      </c>
      <c r="E35" s="183">
        <f t="shared" ref="E35:L35" si="7">-(E25-D25)</f>
        <v>-2265</v>
      </c>
      <c r="F35" s="183">
        <f t="shared" si="7"/>
        <v>-7855</v>
      </c>
      <c r="G35" s="183">
        <f t="shared" si="7"/>
        <v>-5822</v>
      </c>
      <c r="H35" s="183">
        <f>-(H25-G25)</f>
        <v>-323.29803794145846</v>
      </c>
      <c r="I35" s="183">
        <f t="shared" si="7"/>
        <v>-5998.7239078752973</v>
      </c>
      <c r="J35" s="183">
        <f t="shared" si="7"/>
        <v>-5703.6918722642658</v>
      </c>
      <c r="K35" s="183">
        <f t="shared" si="7"/>
        <v>-6055.0384097383285</v>
      </c>
      <c r="L35" s="184">
        <f t="shared" si="7"/>
        <v>-5458.8356953031034</v>
      </c>
    </row>
    <row r="36" spans="1:14" ht="15" customHeight="1" x14ac:dyDescent="0.2">
      <c r="B36" s="136" t="s">
        <v>197</v>
      </c>
      <c r="C36" s="179"/>
      <c r="D36" s="183">
        <f>(D33-C33)</f>
        <v>-2791</v>
      </c>
      <c r="E36" s="183">
        <f t="shared" ref="E36:L36" si="8">(E33-D33)</f>
        <v>7705</v>
      </c>
      <c r="F36" s="183">
        <f t="shared" si="8"/>
        <v>9003</v>
      </c>
      <c r="G36" s="183">
        <f t="shared" si="8"/>
        <v>806</v>
      </c>
      <c r="H36" s="183">
        <f>(H33-G33)</f>
        <v>3877.1760559137401</v>
      </c>
      <c r="I36" s="183">
        <f t="shared" si="8"/>
        <v>6510.3540787226157</v>
      </c>
      <c r="J36" s="183">
        <f t="shared" si="8"/>
        <v>5942.5586583996774</v>
      </c>
      <c r="K36" s="183">
        <f t="shared" si="8"/>
        <v>5814.3705887006072</v>
      </c>
      <c r="L36" s="185">
        <f t="shared" si="8"/>
        <v>6614.9467027043283</v>
      </c>
    </row>
    <row r="37" spans="1:14" ht="15" customHeight="1" x14ac:dyDescent="0.2">
      <c r="A37" t="s">
        <v>21</v>
      </c>
      <c r="B37" s="156" t="s">
        <v>198</v>
      </c>
      <c r="C37" s="186"/>
      <c r="D37" s="187">
        <f>SUM(D35:D36)</f>
        <v>-5991</v>
      </c>
      <c r="E37" s="187">
        <f t="shared" ref="E37:L37" si="9">SUM(E35:E36)</f>
        <v>5440</v>
      </c>
      <c r="F37" s="187">
        <f t="shared" si="9"/>
        <v>1148</v>
      </c>
      <c r="G37" s="187">
        <f t="shared" si="9"/>
        <v>-5016</v>
      </c>
      <c r="H37" s="187">
        <f t="shared" si="9"/>
        <v>3553.8780179722817</v>
      </c>
      <c r="I37" s="187">
        <f t="shared" si="9"/>
        <v>511.63017084731837</v>
      </c>
      <c r="J37" s="187">
        <f t="shared" si="9"/>
        <v>238.86678613541153</v>
      </c>
      <c r="K37" s="187">
        <f t="shared" si="9"/>
        <v>-240.6678210377213</v>
      </c>
      <c r="L37" s="188">
        <f t="shared" si="9"/>
        <v>1156.1110074012249</v>
      </c>
      <c r="N37" s="20"/>
    </row>
    <row r="38" spans="1:14" ht="15" customHeight="1" x14ac:dyDescent="0.2">
      <c r="B38" s="136"/>
      <c r="C38" s="179"/>
      <c r="D38" s="179"/>
      <c r="E38" s="179"/>
      <c r="F38" s="179"/>
      <c r="G38" s="179"/>
      <c r="H38" s="179"/>
      <c r="I38" s="179"/>
      <c r="J38" s="179"/>
      <c r="K38" s="179"/>
      <c r="L38" s="180"/>
      <c r="N38" s="20"/>
    </row>
    <row r="39" spans="1:14" ht="15" customHeight="1" x14ac:dyDescent="0.2">
      <c r="A39" t="s">
        <v>21</v>
      </c>
      <c r="B39" s="147" t="s">
        <v>199</v>
      </c>
      <c r="C39" s="189"/>
      <c r="D39" s="189"/>
      <c r="E39" s="189"/>
      <c r="F39" s="189"/>
      <c r="G39" s="189"/>
      <c r="H39" s="189"/>
      <c r="I39" s="189"/>
      <c r="J39" s="189"/>
      <c r="K39" s="189"/>
      <c r="L39" s="190"/>
    </row>
    <row r="40" spans="1:14" ht="15" customHeight="1" x14ac:dyDescent="0.2">
      <c r="B40" s="136" t="s">
        <v>70</v>
      </c>
      <c r="C40" s="181">
        <f>'Balance Sheet'!C16</f>
        <v>45811</v>
      </c>
      <c r="D40" s="181">
        <f>'Balance Sheet'!D16</f>
        <v>45811</v>
      </c>
      <c r="E40" s="181">
        <f>'Balance Sheet'!E16</f>
        <v>44259</v>
      </c>
      <c r="F40" s="181">
        <f>'Balance Sheet'!F16</f>
        <v>44370</v>
      </c>
      <c r="G40" s="181">
        <f>'Balance Sheet'!G16</f>
        <v>44924</v>
      </c>
      <c r="H40" s="181">
        <f>'Balance Sheet'!H16</f>
        <v>44924</v>
      </c>
      <c r="I40" s="181">
        <f>'Balance Sheet'!I16</f>
        <v>44924</v>
      </c>
      <c r="J40" s="181">
        <f>'Balance Sheet'!J16</f>
        <v>44924</v>
      </c>
      <c r="K40" s="181">
        <f>'Balance Sheet'!K16</f>
        <v>44924</v>
      </c>
      <c r="L40" s="191">
        <f>'Balance Sheet'!L16</f>
        <v>44924</v>
      </c>
    </row>
    <row r="41" spans="1:14" ht="15" customHeight="1" x14ac:dyDescent="0.2">
      <c r="B41" s="136" t="s">
        <v>200</v>
      </c>
      <c r="C41" s="181">
        <f>'Balance Sheet'!C17</f>
        <v>34102</v>
      </c>
      <c r="D41" s="181">
        <f>'Balance Sheet'!D17</f>
        <v>32492</v>
      </c>
      <c r="E41" s="181">
        <f>'Balance Sheet'!E17</f>
        <v>30863</v>
      </c>
      <c r="F41" s="181">
        <f>'Balance Sheet'!F17</f>
        <v>29417</v>
      </c>
      <c r="G41" s="181">
        <f>'Balance Sheet'!G17</f>
        <v>28560</v>
      </c>
      <c r="H41" s="181">
        <f>'Balance Sheet'!H17</f>
        <v>32406.073943431376</v>
      </c>
      <c r="I41" s="181">
        <f>'Balance Sheet'!I17</f>
        <v>36826.812853379299</v>
      </c>
      <c r="J41" s="181">
        <f>'Balance Sheet'!J17</f>
        <v>41103.212893903379</v>
      </c>
      <c r="K41" s="181">
        <f>'Balance Sheet'!K17</f>
        <v>45470.76940870368</v>
      </c>
      <c r="L41" s="182">
        <f>'Balance Sheet'!L17</f>
        <v>50350.127964515144</v>
      </c>
    </row>
    <row r="42" spans="1:14" ht="15" customHeight="1" x14ac:dyDescent="0.2">
      <c r="B42" s="136" t="s">
        <v>73</v>
      </c>
      <c r="C42" s="181">
        <f>'Balance Sheet'!C19</f>
        <v>8337</v>
      </c>
      <c r="D42" s="181">
        <f>'Balance Sheet'!D19</f>
        <v>7278</v>
      </c>
      <c r="E42" s="181">
        <f>'Balance Sheet'!E19</f>
        <v>7430</v>
      </c>
      <c r="F42" s="181">
        <f>'Balance Sheet'!F19</f>
        <v>7278</v>
      </c>
      <c r="G42" s="181">
        <f>'Balance Sheet'!G19</f>
        <v>7511</v>
      </c>
      <c r="H42" s="181">
        <f>'Balance Sheet'!H19</f>
        <v>8178.6758047707754</v>
      </c>
      <c r="I42" s="181">
        <f>'Balance Sheet'!I19</f>
        <v>8906.9500854684811</v>
      </c>
      <c r="J42" s="181">
        <f>'Balance Sheet'!J19</f>
        <v>9528.4720799503284</v>
      </c>
      <c r="K42" s="181">
        <f>'Balance Sheet'!K19</f>
        <v>10104.615424156373</v>
      </c>
      <c r="L42" s="182">
        <f>'Balance Sheet'!L19</f>
        <v>10945.679992285901</v>
      </c>
    </row>
    <row r="43" spans="1:14" ht="15" customHeight="1" x14ac:dyDescent="0.2">
      <c r="B43" s="136" t="s">
        <v>201</v>
      </c>
      <c r="C43" s="181">
        <f>'Balance Sheet'!C18</f>
        <v>3405</v>
      </c>
      <c r="D43" s="181">
        <f>'Balance Sheet'!D18</f>
        <v>3426</v>
      </c>
      <c r="E43" s="181">
        <f>'Balance Sheet'!E18</f>
        <v>3421</v>
      </c>
      <c r="F43" s="181">
        <f>'Balance Sheet'!F18</f>
        <v>2786</v>
      </c>
      <c r="G43" s="181">
        <f>'Balance Sheet'!G18</f>
        <v>2885</v>
      </c>
      <c r="H43" s="181">
        <f>'Balance Sheet'!H18</f>
        <v>3086.292756517274</v>
      </c>
      <c r="I43" s="181">
        <f>'Balance Sheet'!I18</f>
        <v>3083.1750295852435</v>
      </c>
      <c r="J43" s="181">
        <f>'Balance Sheet'!J18</f>
        <v>2989.3245741020642</v>
      </c>
      <c r="K43" s="181">
        <f>'Balance Sheet'!K18</f>
        <v>2829.2923187637844</v>
      </c>
      <c r="L43" s="182">
        <f>'Balance Sheet'!L18</f>
        <v>2845.8767979943341</v>
      </c>
    </row>
    <row r="44" spans="1:14" ht="15" customHeight="1" x14ac:dyDescent="0.2">
      <c r="A44" t="s">
        <v>21</v>
      </c>
      <c r="B44" s="156" t="s">
        <v>202</v>
      </c>
      <c r="C44" s="192">
        <f>SUM(C40:C43)</f>
        <v>91655</v>
      </c>
      <c r="D44" s="192">
        <f t="shared" ref="D44:L44" si="10">SUM(D40:D43)</f>
        <v>89007</v>
      </c>
      <c r="E44" s="192">
        <f t="shared" si="10"/>
        <v>85973</v>
      </c>
      <c r="F44" s="192">
        <f t="shared" si="10"/>
        <v>83851</v>
      </c>
      <c r="G44" s="192">
        <f t="shared" si="10"/>
        <v>83880</v>
      </c>
      <c r="H44" s="192">
        <f t="shared" si="10"/>
        <v>88595.042504719415</v>
      </c>
      <c r="I44" s="192">
        <f t="shared" si="10"/>
        <v>93740.937968433005</v>
      </c>
      <c r="J44" s="192">
        <f t="shared" si="10"/>
        <v>98545.009547955764</v>
      </c>
      <c r="K44" s="192">
        <f t="shared" si="10"/>
        <v>103328.67715162384</v>
      </c>
      <c r="L44" s="193">
        <f t="shared" si="10"/>
        <v>109065.68475479539</v>
      </c>
    </row>
    <row r="45" spans="1:14" ht="15" customHeight="1" x14ac:dyDescent="0.2">
      <c r="B45" s="136"/>
      <c r="C45" s="179"/>
      <c r="D45" s="179"/>
      <c r="E45" s="179"/>
      <c r="F45" s="179"/>
      <c r="G45" s="179"/>
      <c r="H45" s="179"/>
      <c r="I45" s="179"/>
      <c r="J45" s="179"/>
      <c r="K45" s="179"/>
      <c r="L45" s="180"/>
    </row>
    <row r="46" spans="1:14" ht="15" customHeight="1" x14ac:dyDescent="0.2">
      <c r="A46" t="s">
        <v>21</v>
      </c>
      <c r="B46" s="147" t="s">
        <v>75</v>
      </c>
      <c r="C46" s="189"/>
      <c r="D46" s="189"/>
      <c r="E46" s="189"/>
      <c r="F46" s="189"/>
      <c r="G46" s="189"/>
      <c r="H46" s="189"/>
      <c r="I46" s="189"/>
      <c r="J46" s="189"/>
      <c r="K46" s="189"/>
      <c r="L46" s="190"/>
    </row>
    <row r="47" spans="1:14" ht="15" customHeight="1" x14ac:dyDescent="0.2">
      <c r="B47" s="136" t="s">
        <v>203</v>
      </c>
      <c r="C47" s="181">
        <f>'Balance Sheet'!C34</f>
        <v>8346</v>
      </c>
      <c r="D47" s="181">
        <f>'Balance Sheet'!D34</f>
        <v>7751</v>
      </c>
      <c r="E47" s="181">
        <f>'Balance Sheet'!E34</f>
        <v>7173</v>
      </c>
      <c r="F47" s="181">
        <f>'Balance Sheet'!F34</f>
        <v>6975</v>
      </c>
      <c r="G47" s="181">
        <f>'Balance Sheet'!G34</f>
        <v>7145</v>
      </c>
      <c r="H47" s="181">
        <f>'Balance Sheet'!H34</f>
        <v>7715.7318912931851</v>
      </c>
      <c r="I47" s="181">
        <f>'Balance Sheet'!I34</f>
        <v>8221.8000788939826</v>
      </c>
      <c r="J47" s="181">
        <f>'Balance Sheet'!J34</f>
        <v>8594.3081505434347</v>
      </c>
      <c r="K47" s="181">
        <f>'Balance Sheet'!K34</f>
        <v>9094.1538817407345</v>
      </c>
      <c r="L47" s="191">
        <f>'Balance Sheet'!L34</f>
        <v>9851.1119930573095</v>
      </c>
    </row>
    <row r="48" spans="1:14" ht="15" customHeight="1" x14ac:dyDescent="0.2">
      <c r="B48" s="136" t="s">
        <v>204</v>
      </c>
      <c r="C48" s="181">
        <f>'Balance Sheet'!C35</f>
        <v>3762</v>
      </c>
      <c r="D48" s="181">
        <f>'Balance Sheet'!D35</f>
        <v>3142</v>
      </c>
      <c r="E48" s="181">
        <f>'Balance Sheet'!E35</f>
        <v>3441</v>
      </c>
      <c r="F48" s="181">
        <f>'Balance Sheet'!F35</f>
        <v>3215</v>
      </c>
      <c r="G48" s="181">
        <f>'Balance Sheet'!G35</f>
        <v>4238</v>
      </c>
      <c r="H48" s="181">
        <f>'Balance Sheet'!H35</f>
        <v>4629.439134775911</v>
      </c>
      <c r="I48" s="181">
        <f>'Balance Sheet'!I35</f>
        <v>5070.1100486512896</v>
      </c>
      <c r="J48" s="181">
        <f>'Balance Sheet'!J35</f>
        <v>5418.1507905599919</v>
      </c>
      <c r="K48" s="181">
        <f>'Balance Sheet'!K35</f>
        <v>5860.6769460106962</v>
      </c>
      <c r="L48" s="182">
        <f>'Balance Sheet'!L35</f>
        <v>6348.4943955258223</v>
      </c>
    </row>
    <row r="49" spans="1:12" ht="15" customHeight="1" x14ac:dyDescent="0.2">
      <c r="B49" s="136" t="s">
        <v>81</v>
      </c>
      <c r="C49" s="181">
        <f>'Balance Sheet'!C33</f>
        <v>12563</v>
      </c>
      <c r="D49" s="181">
        <f>'Balance Sheet'!D33</f>
        <v>11481</v>
      </c>
      <c r="E49" s="181">
        <f>'Balance Sheet'!E33</f>
        <v>10904</v>
      </c>
      <c r="F49" s="181">
        <f>'Balance Sheet'!F33</f>
        <v>10254</v>
      </c>
      <c r="G49" s="181">
        <f>'Balance Sheet'!G33</f>
        <v>9938</v>
      </c>
      <c r="H49" s="181">
        <f>'Balance Sheet'!H33</f>
        <v>10802.02464781046</v>
      </c>
      <c r="I49" s="181">
        <f>'Balance Sheet'!I33</f>
        <v>11647.550111766477</v>
      </c>
      <c r="J49" s="181">
        <f>'Balance Sheet'!J33</f>
        <v>12330.963868171015</v>
      </c>
      <c r="K49" s="181">
        <f>'Balance Sheet'!K33</f>
        <v>13136.000051403284</v>
      </c>
      <c r="L49" s="182">
        <f>'Balance Sheet'!L33</f>
        <v>14229.383989971671</v>
      </c>
    </row>
    <row r="50" spans="1:12" ht="15" customHeight="1" x14ac:dyDescent="0.2">
      <c r="B50" s="136" t="s">
        <v>85</v>
      </c>
      <c r="C50" s="181">
        <f>'Balance Sheet'!C68</f>
        <v>0</v>
      </c>
      <c r="D50" s="181">
        <f>'Balance Sheet'!D68</f>
        <v>0</v>
      </c>
      <c r="E50" s="181">
        <f>'Balance Sheet'!E68</f>
        <v>591</v>
      </c>
      <c r="F50" s="181">
        <f>'Balance Sheet'!F68</f>
        <v>0</v>
      </c>
      <c r="G50" s="181">
        <f>'Balance Sheet'!G68</f>
        <v>0</v>
      </c>
      <c r="H50" s="181">
        <f>'Balance Sheet'!H68</f>
        <v>0</v>
      </c>
      <c r="I50" s="181">
        <f>'Balance Sheet'!I68</f>
        <v>0</v>
      </c>
      <c r="J50" s="181">
        <f>'Balance Sheet'!J68</f>
        <v>0</v>
      </c>
      <c r="K50" s="181">
        <f>'Balance Sheet'!K68</f>
        <v>0</v>
      </c>
      <c r="L50" s="182">
        <f>'Balance Sheet'!L68</f>
        <v>0</v>
      </c>
    </row>
    <row r="51" spans="1:12" ht="15" customHeight="1" x14ac:dyDescent="0.2">
      <c r="B51" s="136" t="s">
        <v>84</v>
      </c>
      <c r="C51" s="181">
        <f>'Balance Sheet'!C67</f>
        <v>8337</v>
      </c>
      <c r="D51" s="181">
        <f>'Balance Sheet'!D67</f>
        <v>7278</v>
      </c>
      <c r="E51" s="181">
        <f>'Balance Sheet'!E67</f>
        <v>7430</v>
      </c>
      <c r="F51" s="181">
        <f>'Balance Sheet'!F67</f>
        <v>7278</v>
      </c>
      <c r="G51" s="181">
        <f>'Balance Sheet'!G67</f>
        <v>7511</v>
      </c>
      <c r="H51" s="181">
        <f>'Balance Sheet'!H67</f>
        <v>8178.6758047707754</v>
      </c>
      <c r="I51" s="181">
        <f>'Balance Sheet'!I67</f>
        <v>8906.9500854684811</v>
      </c>
      <c r="J51" s="181">
        <f>'Balance Sheet'!J67</f>
        <v>9528.4720799503284</v>
      </c>
      <c r="K51" s="181">
        <f>'Balance Sheet'!K67</f>
        <v>10104.615424156373</v>
      </c>
      <c r="L51" s="176">
        <f>'Balance Sheet'!L67</f>
        <v>10945.679992285901</v>
      </c>
    </row>
    <row r="52" spans="1:12" ht="15" customHeight="1" x14ac:dyDescent="0.2">
      <c r="A52" t="s">
        <v>21</v>
      </c>
      <c r="B52" s="156" t="s">
        <v>205</v>
      </c>
      <c r="C52" s="192">
        <f t="shared" ref="C52:L52" si="11">SUM(C47:C51)</f>
        <v>33008</v>
      </c>
      <c r="D52" s="192">
        <f t="shared" si="11"/>
        <v>29652</v>
      </c>
      <c r="E52" s="192">
        <f t="shared" si="11"/>
        <v>29539</v>
      </c>
      <c r="F52" s="192">
        <f t="shared" si="11"/>
        <v>27722</v>
      </c>
      <c r="G52" s="192">
        <f t="shared" si="11"/>
        <v>28832</v>
      </c>
      <c r="H52" s="192">
        <f t="shared" si="11"/>
        <v>31325.871478650333</v>
      </c>
      <c r="I52" s="192">
        <f t="shared" si="11"/>
        <v>33846.410324780227</v>
      </c>
      <c r="J52" s="192">
        <f t="shared" si="11"/>
        <v>35871.894889224772</v>
      </c>
      <c r="K52" s="192">
        <f t="shared" si="11"/>
        <v>38195.446303311088</v>
      </c>
      <c r="L52" s="193">
        <f t="shared" si="11"/>
        <v>41374.6703708407</v>
      </c>
    </row>
    <row r="53" spans="1:12" ht="15" customHeight="1" x14ac:dyDescent="0.2">
      <c r="B53" s="136"/>
      <c r="C53" s="179"/>
      <c r="D53" s="179"/>
      <c r="E53" s="179"/>
      <c r="F53" s="179"/>
      <c r="G53" s="179"/>
      <c r="H53" s="179"/>
      <c r="I53" s="179"/>
      <c r="J53" s="179"/>
      <c r="K53" s="179"/>
      <c r="L53" s="180"/>
    </row>
    <row r="54" spans="1:12" ht="15" customHeight="1" x14ac:dyDescent="0.2">
      <c r="B54" s="136" t="s">
        <v>206</v>
      </c>
      <c r="C54" s="179"/>
      <c r="D54" s="183">
        <f t="shared" ref="D54:L54" si="12">-(D44-C44)</f>
        <v>2648</v>
      </c>
      <c r="E54" s="183">
        <f t="shared" si="12"/>
        <v>3034</v>
      </c>
      <c r="F54" s="183">
        <f t="shared" si="12"/>
        <v>2122</v>
      </c>
      <c r="G54" s="183">
        <f t="shared" si="12"/>
        <v>-29</v>
      </c>
      <c r="H54" s="183">
        <f t="shared" si="12"/>
        <v>-4715.0425047194149</v>
      </c>
      <c r="I54" s="183">
        <f t="shared" si="12"/>
        <v>-5145.8954637135903</v>
      </c>
      <c r="J54" s="183">
        <f t="shared" si="12"/>
        <v>-4804.0715795227588</v>
      </c>
      <c r="K54" s="183">
        <f t="shared" si="12"/>
        <v>-4783.6676036680728</v>
      </c>
      <c r="L54" s="184">
        <f t="shared" si="12"/>
        <v>-5737.007603171558</v>
      </c>
    </row>
    <row r="55" spans="1:12" ht="15" customHeight="1" x14ac:dyDescent="0.2">
      <c r="B55" s="136" t="s">
        <v>207</v>
      </c>
      <c r="C55" s="194"/>
      <c r="D55" s="195">
        <f t="shared" ref="D55:L55" si="13">D52-C52</f>
        <v>-3356</v>
      </c>
      <c r="E55" s="195">
        <f t="shared" si="13"/>
        <v>-113</v>
      </c>
      <c r="F55" s="195">
        <f t="shared" si="13"/>
        <v>-1817</v>
      </c>
      <c r="G55" s="195">
        <f t="shared" si="13"/>
        <v>1110</v>
      </c>
      <c r="H55" s="195">
        <f t="shared" si="13"/>
        <v>2493.8714786503333</v>
      </c>
      <c r="I55" s="195">
        <f t="shared" si="13"/>
        <v>2520.5388461298935</v>
      </c>
      <c r="J55" s="195">
        <f t="shared" si="13"/>
        <v>2025.484564444545</v>
      </c>
      <c r="K55" s="204">
        <f t="shared" si="13"/>
        <v>2323.5514140863161</v>
      </c>
      <c r="L55" s="196">
        <f t="shared" si="13"/>
        <v>3179.2240675296125</v>
      </c>
    </row>
    <row r="56" spans="1:12" ht="15" customHeight="1" thickBot="1" x14ac:dyDescent="0.25">
      <c r="A56" t="s">
        <v>21</v>
      </c>
      <c r="B56" s="150" t="s">
        <v>208</v>
      </c>
      <c r="C56" s="197"/>
      <c r="D56" s="197">
        <f>SUM(D54:D55)</f>
        <v>-708</v>
      </c>
      <c r="E56" s="197">
        <f t="shared" ref="E56:L56" si="14">SUM(E54:E55)</f>
        <v>2921</v>
      </c>
      <c r="F56" s="197">
        <f t="shared" si="14"/>
        <v>305</v>
      </c>
      <c r="G56" s="197">
        <f t="shared" si="14"/>
        <v>1081</v>
      </c>
      <c r="H56" s="197">
        <f t="shared" si="14"/>
        <v>-2221.1710260690816</v>
      </c>
      <c r="I56" s="197">
        <f t="shared" si="14"/>
        <v>-2625.3566175836968</v>
      </c>
      <c r="J56" s="197">
        <f t="shared" si="14"/>
        <v>-2778.5870150782139</v>
      </c>
      <c r="K56" s="197">
        <f t="shared" si="14"/>
        <v>-2460.1161895817568</v>
      </c>
      <c r="L56" s="198">
        <f t="shared" si="14"/>
        <v>-2557.7835356419455</v>
      </c>
    </row>
    <row r="57" spans="1:12" ht="15" customHeight="1" x14ac:dyDescent="0.2">
      <c r="C57" s="32"/>
      <c r="D57" s="32"/>
      <c r="E57" s="32"/>
      <c r="F57" s="32"/>
      <c r="G57" s="32"/>
      <c r="H57" s="32"/>
      <c r="I57" s="32"/>
      <c r="J57" s="32"/>
      <c r="K57" s="32"/>
      <c r="L57" s="32"/>
    </row>
    <row r="58" spans="1:12" ht="15" customHeight="1" x14ac:dyDescent="0.2">
      <c r="C58" s="32"/>
      <c r="D58" s="32"/>
      <c r="E58" s="32"/>
      <c r="F58" s="32"/>
      <c r="G58" s="32"/>
      <c r="H58" s="32"/>
      <c r="I58" s="32"/>
      <c r="J58" s="32"/>
      <c r="K58" s="32"/>
      <c r="L58" s="32"/>
    </row>
    <row r="59" spans="1:12" ht="15" customHeight="1" x14ac:dyDescent="0.2">
      <c r="C59" s="32"/>
      <c r="D59" s="32"/>
      <c r="E59" s="32"/>
      <c r="F59" s="32"/>
      <c r="G59" s="32"/>
      <c r="H59" s="32"/>
      <c r="I59" s="32"/>
      <c r="J59" s="32"/>
      <c r="K59" s="32"/>
      <c r="L59" s="32"/>
    </row>
    <row r="60" spans="1:12" ht="15" customHeight="1" x14ac:dyDescent="0.2">
      <c r="C60" s="32"/>
      <c r="D60" s="32"/>
      <c r="E60" s="32"/>
      <c r="F60" s="32"/>
      <c r="G60" s="32"/>
      <c r="H60" s="32"/>
      <c r="I60" s="32"/>
      <c r="J60" s="32"/>
      <c r="K60" s="32"/>
      <c r="L60" s="32"/>
    </row>
    <row r="61" spans="1:12" ht="15" customHeight="1" x14ac:dyDescent="0.2">
      <c r="C61" s="32"/>
      <c r="D61" s="32"/>
      <c r="E61" s="32"/>
      <c r="F61" s="32"/>
      <c r="G61" s="32"/>
      <c r="H61" s="32"/>
      <c r="I61" s="32"/>
      <c r="J61" s="32"/>
      <c r="K61" s="32"/>
      <c r="L61" s="32"/>
    </row>
    <row r="62" spans="1:12" ht="15" customHeight="1" x14ac:dyDescent="0.2">
      <c r="C62" s="32"/>
      <c r="D62" s="32"/>
      <c r="E62" s="32"/>
      <c r="F62" s="32"/>
      <c r="G62" s="32"/>
      <c r="H62" s="32"/>
      <c r="I62" s="32"/>
      <c r="J62" s="32"/>
      <c r="K62" s="32"/>
      <c r="L62" s="32"/>
    </row>
    <row r="63" spans="1:12" ht="15" customHeight="1" x14ac:dyDescent="0.2">
      <c r="C63" s="32"/>
      <c r="D63" s="32"/>
      <c r="E63" s="32"/>
      <c r="F63" s="32"/>
      <c r="G63" s="32"/>
      <c r="H63" s="32"/>
      <c r="I63" s="32"/>
      <c r="J63" s="32"/>
      <c r="K63" s="32"/>
      <c r="L63" s="32"/>
    </row>
    <row r="64" spans="1:12" ht="15" customHeight="1" x14ac:dyDescent="0.2">
      <c r="C64" s="32"/>
      <c r="D64" s="32"/>
      <c r="E64" s="32"/>
      <c r="F64" s="32"/>
      <c r="G64" s="32"/>
      <c r="H64" s="32"/>
      <c r="I64" s="32"/>
      <c r="J64" s="32"/>
      <c r="K64" s="32"/>
      <c r="L64" s="32"/>
    </row>
    <row r="65" spans="3:12" ht="15" customHeight="1" x14ac:dyDescent="0.2">
      <c r="C65" s="32"/>
      <c r="D65" s="32"/>
      <c r="E65" s="32"/>
      <c r="F65" s="32"/>
      <c r="G65" s="32"/>
      <c r="H65" s="32"/>
      <c r="I65" s="32"/>
      <c r="J65" s="32"/>
      <c r="K65" s="32"/>
      <c r="L65" s="32"/>
    </row>
    <row r="66" spans="3:12" ht="15" customHeight="1" x14ac:dyDescent="0.2">
      <c r="C66" s="32"/>
      <c r="D66" s="32"/>
      <c r="E66" s="32"/>
      <c r="F66" s="32"/>
      <c r="G66" s="32"/>
      <c r="H66" s="32"/>
      <c r="I66" s="32"/>
      <c r="J66" s="32"/>
      <c r="K66" s="32"/>
      <c r="L66" s="32"/>
    </row>
    <row r="67" spans="3:12" ht="15" customHeight="1" x14ac:dyDescent="0.2">
      <c r="C67" s="32"/>
      <c r="D67" s="32"/>
      <c r="E67" s="32"/>
      <c r="F67" s="32"/>
      <c r="G67" s="32"/>
      <c r="H67" s="32"/>
      <c r="I67" s="32"/>
      <c r="J67" s="32"/>
      <c r="K67" s="32"/>
      <c r="L67" s="32"/>
    </row>
    <row r="68" spans="3:12" ht="15" customHeight="1" x14ac:dyDescent="0.2">
      <c r="C68" s="32"/>
      <c r="D68" s="32"/>
      <c r="E68" s="32"/>
      <c r="F68" s="32"/>
      <c r="G68" s="32"/>
      <c r="H68" s="32"/>
      <c r="I68" s="32"/>
      <c r="J68" s="32"/>
      <c r="K68" s="32"/>
      <c r="L68" s="32"/>
    </row>
    <row r="69" spans="3:12" ht="15" customHeight="1" x14ac:dyDescent="0.2">
      <c r="C69" s="32"/>
      <c r="D69" s="32"/>
      <c r="E69" s="32"/>
      <c r="F69" s="32"/>
      <c r="G69" s="32"/>
      <c r="H69" s="32"/>
      <c r="I69" s="32"/>
      <c r="J69" s="32"/>
      <c r="K69" s="32"/>
      <c r="L69" s="32"/>
    </row>
    <row r="70" spans="3:12" ht="15" customHeight="1" x14ac:dyDescent="0.2">
      <c r="C70" s="32"/>
      <c r="D70" s="32"/>
      <c r="E70" s="32"/>
      <c r="F70" s="32"/>
      <c r="G70" s="32"/>
      <c r="H70" s="32"/>
      <c r="I70" s="32"/>
      <c r="J70" s="32"/>
      <c r="K70" s="32"/>
      <c r="L70" s="32"/>
    </row>
    <row r="71" spans="3:12" ht="15" customHeight="1" x14ac:dyDescent="0.2">
      <c r="C71" s="32"/>
      <c r="D71" s="32"/>
      <c r="E71" s="32"/>
      <c r="F71" s="32"/>
      <c r="G71" s="32"/>
      <c r="H71" s="32"/>
      <c r="I71" s="32"/>
      <c r="J71" s="32"/>
      <c r="K71" s="32"/>
      <c r="L71" s="32"/>
    </row>
    <row r="72" spans="3:12" ht="15" customHeight="1" x14ac:dyDescent="0.2">
      <c r="C72" s="32"/>
      <c r="D72" s="32"/>
      <c r="E72" s="32"/>
      <c r="F72" s="32"/>
      <c r="G72" s="32"/>
      <c r="H72" s="32"/>
      <c r="I72" s="32"/>
      <c r="J72" s="32"/>
      <c r="K72" s="32"/>
      <c r="L72" s="32"/>
    </row>
    <row r="73" spans="3:12" ht="15" customHeight="1" x14ac:dyDescent="0.2">
      <c r="C73" s="32"/>
      <c r="D73" s="32"/>
      <c r="E73" s="32"/>
      <c r="F73" s="32"/>
      <c r="G73" s="32"/>
      <c r="H73" s="32"/>
      <c r="I73" s="32"/>
      <c r="J73" s="32"/>
      <c r="K73" s="32"/>
      <c r="L73" s="32"/>
    </row>
    <row r="74" spans="3:12" ht="15" customHeight="1" x14ac:dyDescent="0.2">
      <c r="C74" s="32"/>
      <c r="D74" s="32"/>
      <c r="E74" s="32"/>
      <c r="F74" s="32"/>
      <c r="G74" s="32"/>
      <c r="H74" s="32"/>
      <c r="I74" s="32"/>
      <c r="J74" s="32"/>
      <c r="K74" s="32"/>
      <c r="L74" s="32"/>
    </row>
    <row r="75" spans="3:12" ht="15" customHeight="1" x14ac:dyDescent="0.2">
      <c r="C75" s="32"/>
      <c r="D75" s="32"/>
      <c r="E75" s="32"/>
      <c r="F75" s="32"/>
      <c r="G75" s="32"/>
      <c r="H75" s="32"/>
      <c r="I75" s="32"/>
      <c r="J75" s="32"/>
      <c r="K75" s="32"/>
      <c r="L75" s="32"/>
    </row>
    <row r="76" spans="3:12" ht="15" customHeight="1" x14ac:dyDescent="0.2">
      <c r="C76" s="32"/>
      <c r="D76" s="32"/>
      <c r="E76" s="32"/>
      <c r="F76" s="32"/>
      <c r="G76" s="32"/>
      <c r="H76" s="32"/>
      <c r="I76" s="32"/>
      <c r="J76" s="32"/>
      <c r="K76" s="32"/>
      <c r="L76" s="32"/>
    </row>
    <row r="77" spans="3:12" ht="15" customHeight="1" x14ac:dyDescent="0.2">
      <c r="C77" s="32"/>
      <c r="D77" s="32"/>
      <c r="E77" s="32"/>
      <c r="F77" s="32"/>
      <c r="G77" s="32"/>
      <c r="H77" s="32"/>
      <c r="I77" s="32"/>
      <c r="J77" s="32"/>
      <c r="K77" s="32"/>
      <c r="L77" s="32"/>
    </row>
    <row r="78" spans="3:12" ht="15" customHeight="1" x14ac:dyDescent="0.2">
      <c r="C78" s="32"/>
      <c r="D78" s="32"/>
      <c r="E78" s="32"/>
      <c r="F78" s="32"/>
      <c r="G78" s="32"/>
      <c r="H78" s="32"/>
      <c r="I78" s="32"/>
      <c r="J78" s="32"/>
      <c r="K78" s="32"/>
      <c r="L78" s="32"/>
    </row>
    <row r="79" spans="3:12" ht="15" customHeight="1" x14ac:dyDescent="0.2">
      <c r="C79" s="32"/>
      <c r="D79" s="32"/>
      <c r="E79" s="32"/>
      <c r="F79" s="32"/>
      <c r="G79" s="32"/>
      <c r="H79" s="32"/>
      <c r="I79" s="32"/>
      <c r="J79" s="32"/>
      <c r="K79" s="32"/>
      <c r="L79" s="32"/>
    </row>
    <row r="80" spans="3:12" ht="15" customHeight="1" x14ac:dyDescent="0.2">
      <c r="C80" s="32"/>
      <c r="D80" s="32"/>
      <c r="E80" s="32"/>
      <c r="F80" s="32"/>
      <c r="G80" s="32"/>
      <c r="H80" s="32"/>
      <c r="I80" s="32"/>
      <c r="J80" s="32"/>
      <c r="K80" s="32"/>
      <c r="L80" s="32"/>
    </row>
    <row r="81" spans="3:12" ht="15" customHeight="1" x14ac:dyDescent="0.2">
      <c r="C81" s="32"/>
      <c r="D81" s="32"/>
      <c r="E81" s="32"/>
      <c r="F81" s="32"/>
      <c r="G81" s="32"/>
      <c r="H81" s="32"/>
      <c r="I81" s="32"/>
      <c r="J81" s="32"/>
      <c r="K81" s="32"/>
      <c r="L81" s="32"/>
    </row>
    <row r="82" spans="3:12" ht="15" customHeight="1" x14ac:dyDescent="0.2">
      <c r="C82" s="32"/>
      <c r="D82" s="32"/>
      <c r="E82" s="32"/>
      <c r="F82" s="32"/>
      <c r="G82" s="32"/>
      <c r="H82" s="32"/>
      <c r="I82" s="32"/>
      <c r="J82" s="32"/>
      <c r="K82" s="32"/>
      <c r="L82" s="32"/>
    </row>
    <row r="83" spans="3:12" ht="15" customHeight="1" x14ac:dyDescent="0.2">
      <c r="C83" s="32"/>
      <c r="D83" s="32"/>
      <c r="E83" s="32"/>
      <c r="F83" s="32"/>
      <c r="G83" s="32"/>
      <c r="H83" s="32"/>
      <c r="I83" s="32"/>
      <c r="J83" s="32"/>
      <c r="K83" s="32"/>
      <c r="L83" s="32"/>
    </row>
    <row r="84" spans="3:12" ht="15" customHeight="1" x14ac:dyDescent="0.2">
      <c r="C84" s="32"/>
      <c r="D84" s="32"/>
      <c r="E84" s="32"/>
      <c r="F84" s="32"/>
      <c r="G84" s="32"/>
      <c r="H84" s="32"/>
      <c r="I84" s="32"/>
      <c r="J84" s="32"/>
      <c r="K84" s="32"/>
      <c r="L84" s="32"/>
    </row>
    <row r="85" spans="3:12" ht="15" customHeight="1" x14ac:dyDescent="0.2">
      <c r="C85" s="32"/>
      <c r="D85" s="32"/>
      <c r="E85" s="32"/>
      <c r="F85" s="32"/>
      <c r="G85" s="32"/>
      <c r="H85" s="32"/>
      <c r="I85" s="32"/>
      <c r="J85" s="32"/>
      <c r="K85" s="32"/>
      <c r="L85" s="32"/>
    </row>
    <row r="86" spans="3:12" ht="15" customHeight="1" x14ac:dyDescent="0.2">
      <c r="C86" s="32"/>
      <c r="D86" s="32"/>
      <c r="E86" s="32"/>
      <c r="F86" s="32"/>
      <c r="G86" s="32"/>
      <c r="H86" s="32"/>
      <c r="I86" s="32"/>
      <c r="J86" s="32"/>
      <c r="K86" s="32"/>
      <c r="L86" s="32"/>
    </row>
    <row r="87" spans="3:12" ht="15" customHeight="1" x14ac:dyDescent="0.2">
      <c r="C87" s="32"/>
      <c r="D87" s="32"/>
      <c r="E87" s="32"/>
      <c r="F87" s="32"/>
      <c r="G87" s="32"/>
      <c r="H87" s="32"/>
      <c r="I87" s="32"/>
      <c r="J87" s="32"/>
      <c r="K87" s="32"/>
      <c r="L87" s="32"/>
    </row>
    <row r="88" spans="3:12" ht="15" customHeight="1" x14ac:dyDescent="0.2">
      <c r="C88" s="32"/>
      <c r="D88" s="32"/>
      <c r="E88" s="32"/>
      <c r="F88" s="32"/>
      <c r="G88" s="32"/>
      <c r="H88" s="32"/>
      <c r="I88" s="32"/>
      <c r="J88" s="32"/>
      <c r="K88" s="32"/>
      <c r="L88" s="32"/>
    </row>
    <row r="89" spans="3:12" ht="15" customHeight="1" x14ac:dyDescent="0.2">
      <c r="C89" s="32"/>
      <c r="D89" s="32"/>
      <c r="E89" s="32"/>
      <c r="F89" s="32"/>
      <c r="G89" s="32"/>
      <c r="H89" s="32"/>
      <c r="I89" s="32"/>
      <c r="J89" s="32"/>
      <c r="K89" s="32"/>
      <c r="L89" s="32"/>
    </row>
    <row r="90" spans="3:12" ht="15" customHeight="1" x14ac:dyDescent="0.2">
      <c r="C90" s="32"/>
      <c r="D90" s="32"/>
      <c r="E90" s="32"/>
      <c r="F90" s="32"/>
      <c r="G90" s="32"/>
      <c r="H90" s="32"/>
      <c r="I90" s="32"/>
      <c r="J90" s="32"/>
      <c r="K90" s="32"/>
      <c r="L90" s="32"/>
    </row>
    <row r="91" spans="3:12" ht="15" customHeight="1" x14ac:dyDescent="0.2">
      <c r="C91" s="32"/>
      <c r="D91" s="32"/>
      <c r="E91" s="32"/>
      <c r="F91" s="32"/>
      <c r="G91" s="32"/>
      <c r="H91" s="32"/>
      <c r="I91" s="32"/>
      <c r="J91" s="32"/>
      <c r="K91" s="32"/>
      <c r="L91" s="32"/>
    </row>
    <row r="92" spans="3:12" ht="15" customHeight="1" x14ac:dyDescent="0.2">
      <c r="C92" s="32"/>
      <c r="D92" s="32"/>
      <c r="E92" s="32"/>
      <c r="F92" s="32"/>
      <c r="G92" s="32"/>
      <c r="H92" s="32"/>
      <c r="I92" s="32"/>
      <c r="J92" s="32"/>
      <c r="K92" s="32"/>
      <c r="L92" s="32"/>
    </row>
    <row r="93" spans="3:12" ht="15" customHeight="1" x14ac:dyDescent="0.2">
      <c r="C93" s="32"/>
      <c r="D93" s="32"/>
      <c r="E93" s="32"/>
      <c r="F93" s="32"/>
      <c r="G93" s="32"/>
      <c r="H93" s="32"/>
      <c r="I93" s="32"/>
      <c r="J93" s="32"/>
      <c r="K93" s="32"/>
      <c r="L93" s="32"/>
    </row>
    <row r="94" spans="3:12" ht="15" customHeight="1" x14ac:dyDescent="0.2">
      <c r="C94" s="32"/>
      <c r="D94" s="32"/>
      <c r="E94" s="32"/>
      <c r="F94" s="32"/>
      <c r="G94" s="32"/>
      <c r="H94" s="32"/>
      <c r="I94" s="32"/>
      <c r="J94" s="32"/>
      <c r="K94" s="32"/>
      <c r="L94" s="32"/>
    </row>
    <row r="95" spans="3:12" ht="15" customHeight="1" x14ac:dyDescent="0.2">
      <c r="C95" s="32"/>
      <c r="D95" s="32"/>
      <c r="E95" s="32"/>
      <c r="F95" s="32"/>
      <c r="G95" s="32"/>
      <c r="H95" s="32"/>
      <c r="I95" s="32"/>
      <c r="J95" s="32"/>
      <c r="K95" s="32"/>
      <c r="L95" s="32"/>
    </row>
    <row r="96" spans="3:12" ht="15" customHeight="1" x14ac:dyDescent="0.2">
      <c r="C96" s="32"/>
      <c r="D96" s="32"/>
      <c r="E96" s="32"/>
      <c r="F96" s="32"/>
      <c r="G96" s="32"/>
      <c r="H96" s="32"/>
      <c r="I96" s="32"/>
      <c r="J96" s="32"/>
      <c r="K96" s="32"/>
      <c r="L96" s="32"/>
    </row>
    <row r="97" spans="3:12" ht="15" customHeight="1" x14ac:dyDescent="0.2">
      <c r="C97" s="32"/>
      <c r="D97" s="32"/>
      <c r="E97" s="32"/>
      <c r="F97" s="32"/>
      <c r="G97" s="32"/>
      <c r="H97" s="32"/>
      <c r="I97" s="32"/>
      <c r="J97" s="32"/>
      <c r="K97" s="32"/>
      <c r="L97" s="32"/>
    </row>
    <row r="98" spans="3:12" ht="15" customHeight="1" x14ac:dyDescent="0.2">
      <c r="C98" s="32"/>
      <c r="D98" s="32"/>
      <c r="E98" s="32"/>
      <c r="F98" s="32"/>
      <c r="G98" s="32"/>
      <c r="H98" s="32"/>
      <c r="I98" s="32"/>
      <c r="J98" s="32"/>
      <c r="K98" s="32"/>
      <c r="L98" s="32"/>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5F6D-4343-440E-A601-AEEF83ECC272}">
  <dimension ref="B1:L277"/>
  <sheetViews>
    <sheetView showGridLines="0" workbookViewId="0"/>
  </sheetViews>
  <sheetFormatPr baseColWidth="10" defaultColWidth="8.5" defaultRowHeight="15" x14ac:dyDescent="0.2"/>
  <cols>
    <col min="1" max="1" width="2.5" customWidth="1"/>
    <col min="2" max="2" width="45.5" customWidth="1"/>
    <col min="3" max="4" width="6.5" customWidth="1"/>
    <col min="5" max="5" width="8.5" bestFit="1" customWidth="1"/>
  </cols>
  <sheetData>
    <row r="1" spans="2:10" ht="16" thickBot="1" x14ac:dyDescent="0.25"/>
    <row r="2" spans="2:10" x14ac:dyDescent="0.2">
      <c r="B2" s="352" t="s">
        <v>209</v>
      </c>
      <c r="C2" s="353"/>
      <c r="D2" s="353"/>
      <c r="E2" s="458"/>
      <c r="F2" s="458" t="s">
        <v>14</v>
      </c>
      <c r="G2" s="458"/>
      <c r="H2" s="458"/>
      <c r="I2" s="458"/>
      <c r="J2" s="459"/>
    </row>
    <row r="3" spans="2:10" x14ac:dyDescent="0.2">
      <c r="B3" s="466" t="s">
        <v>210</v>
      </c>
      <c r="C3" s="467"/>
      <c r="D3" s="467"/>
      <c r="E3" s="463">
        <v>2025</v>
      </c>
      <c r="F3" s="464">
        <v>2026</v>
      </c>
      <c r="G3" s="464">
        <v>2027</v>
      </c>
      <c r="H3" s="464">
        <v>2028</v>
      </c>
      <c r="I3" s="464">
        <v>2029</v>
      </c>
      <c r="J3" s="465">
        <v>2030</v>
      </c>
    </row>
    <row r="4" spans="2:10" x14ac:dyDescent="0.2">
      <c r="B4" s="314" t="s">
        <v>211</v>
      </c>
      <c r="C4" s="313"/>
      <c r="D4" s="313"/>
      <c r="E4" s="555"/>
      <c r="F4" s="555"/>
      <c r="G4" s="555"/>
      <c r="H4" s="555"/>
      <c r="I4" s="555"/>
      <c r="J4" s="556"/>
    </row>
    <row r="5" spans="2:10" x14ac:dyDescent="0.2">
      <c r="B5" s="314"/>
      <c r="C5" s="313"/>
      <c r="D5" s="313"/>
      <c r="E5" s="555"/>
      <c r="F5" s="555"/>
      <c r="G5" s="555"/>
      <c r="H5" s="555"/>
      <c r="I5" s="555"/>
      <c r="J5" s="556"/>
    </row>
    <row r="6" spans="2:10" x14ac:dyDescent="0.2">
      <c r="B6" s="314" t="s">
        <v>212</v>
      </c>
      <c r="C6" s="313"/>
      <c r="D6" s="315"/>
      <c r="F6" s="318">
        <f>E8</f>
        <v>549</v>
      </c>
      <c r="G6" s="316"/>
      <c r="H6" s="316"/>
      <c r="I6" s="316"/>
      <c r="J6" s="317"/>
    </row>
    <row r="7" spans="2:10" ht="16" thickBot="1" x14ac:dyDescent="0.25">
      <c r="B7" s="314" t="s">
        <v>213</v>
      </c>
      <c r="C7" s="313"/>
      <c r="D7" s="315"/>
      <c r="E7" s="316"/>
      <c r="F7" s="316">
        <f>$E$8/1</f>
        <v>549</v>
      </c>
      <c r="G7" s="316"/>
      <c r="H7" s="316"/>
      <c r="I7" s="316"/>
      <c r="J7" s="317"/>
    </row>
    <row r="8" spans="2:10" x14ac:dyDescent="0.2">
      <c r="B8" s="314" t="s">
        <v>214</v>
      </c>
      <c r="C8" s="313"/>
      <c r="D8" s="315"/>
      <c r="E8" s="333">
        <v>549</v>
      </c>
      <c r="F8" s="331">
        <f>F6-F7</f>
        <v>0</v>
      </c>
      <c r="G8" s="331"/>
      <c r="H8" s="331"/>
      <c r="I8" s="331"/>
      <c r="J8" s="332"/>
    </row>
    <row r="9" spans="2:10" x14ac:dyDescent="0.2">
      <c r="B9" s="314"/>
      <c r="C9" s="313"/>
      <c r="D9" s="315"/>
      <c r="E9" s="316"/>
      <c r="F9" s="316"/>
      <c r="G9" s="316"/>
      <c r="H9" s="316"/>
      <c r="I9" s="316"/>
      <c r="J9" s="317"/>
    </row>
    <row r="10" spans="2:10" x14ac:dyDescent="0.2">
      <c r="B10" s="314" t="s">
        <v>215</v>
      </c>
      <c r="C10" s="313"/>
      <c r="D10" s="315"/>
      <c r="E10" s="316"/>
      <c r="F10" s="319">
        <v>1.2500000000000001E-2</v>
      </c>
      <c r="G10" s="316"/>
      <c r="H10" s="316"/>
      <c r="I10" s="316"/>
      <c r="J10" s="317"/>
    </row>
    <row r="11" spans="2:10" ht="16" thickBot="1" x14ac:dyDescent="0.25">
      <c r="B11" s="314" t="s">
        <v>216</v>
      </c>
      <c r="C11" s="313"/>
      <c r="D11" s="315"/>
      <c r="E11" s="316"/>
      <c r="F11" s="320">
        <f>AVERAGE(E8:F8)</f>
        <v>274.5</v>
      </c>
      <c r="G11" s="316"/>
      <c r="H11" s="316"/>
      <c r="I11" s="316"/>
      <c r="J11" s="317"/>
    </row>
    <row r="12" spans="2:10" x14ac:dyDescent="0.2">
      <c r="B12" s="314" t="s">
        <v>217</v>
      </c>
      <c r="C12" s="313"/>
      <c r="D12" s="315"/>
      <c r="E12" s="331"/>
      <c r="F12" s="334">
        <f>F10*F11</f>
        <v>3.4312500000000004</v>
      </c>
      <c r="G12" s="331"/>
      <c r="H12" s="331"/>
      <c r="I12" s="331"/>
      <c r="J12" s="332"/>
    </row>
    <row r="13" spans="2:10" x14ac:dyDescent="0.2">
      <c r="B13" s="312"/>
      <c r="C13" s="313"/>
      <c r="D13" s="313"/>
      <c r="E13" s="555"/>
      <c r="F13" s="555"/>
      <c r="G13" s="555"/>
      <c r="H13" s="555"/>
      <c r="I13" s="555"/>
      <c r="J13" s="556"/>
    </row>
    <row r="14" spans="2:10" x14ac:dyDescent="0.2">
      <c r="B14" s="314" t="s">
        <v>218</v>
      </c>
      <c r="C14" s="313"/>
      <c r="D14" s="313"/>
      <c r="E14" s="316"/>
      <c r="F14" s="318">
        <f>E16</f>
        <v>43</v>
      </c>
      <c r="G14" s="318">
        <f>F16</f>
        <v>41</v>
      </c>
      <c r="H14" s="318">
        <f>G16</f>
        <v>39</v>
      </c>
      <c r="I14" s="318">
        <f>H16</f>
        <v>37</v>
      </c>
      <c r="J14" s="608">
        <f>I16</f>
        <v>35</v>
      </c>
    </row>
    <row r="15" spans="2:10" ht="16" thickBot="1" x14ac:dyDescent="0.25">
      <c r="B15" s="314" t="s">
        <v>219</v>
      </c>
      <c r="C15" s="313"/>
      <c r="D15" s="313"/>
      <c r="E15" s="316"/>
      <c r="F15" s="609">
        <v>2</v>
      </c>
      <c r="G15" s="609">
        <v>2</v>
      </c>
      <c r="H15" s="609">
        <v>2</v>
      </c>
      <c r="I15" s="609">
        <v>2</v>
      </c>
      <c r="J15" s="610">
        <v>2</v>
      </c>
    </row>
    <row r="16" spans="2:10" x14ac:dyDescent="0.2">
      <c r="B16" s="314" t="s">
        <v>220</v>
      </c>
      <c r="C16" s="313"/>
      <c r="D16" s="313"/>
      <c r="E16" s="333">
        <v>43</v>
      </c>
      <c r="F16" s="331">
        <f>F14-F15</f>
        <v>41</v>
      </c>
      <c r="G16" s="331">
        <f>G14-G15</f>
        <v>39</v>
      </c>
      <c r="H16" s="331">
        <f>H14-H15</f>
        <v>37</v>
      </c>
      <c r="I16" s="331">
        <f>I14-I15</f>
        <v>35</v>
      </c>
      <c r="J16" s="332">
        <f>J14-J15</f>
        <v>33</v>
      </c>
    </row>
    <row r="17" spans="2:11" x14ac:dyDescent="0.2">
      <c r="B17" s="314"/>
      <c r="C17" s="313"/>
      <c r="D17" s="313"/>
      <c r="E17" s="316"/>
      <c r="F17" s="316"/>
      <c r="G17" s="316"/>
      <c r="H17" s="316"/>
      <c r="I17" s="316"/>
      <c r="J17" s="317"/>
    </row>
    <row r="18" spans="2:11" x14ac:dyDescent="0.2">
      <c r="B18" s="314" t="s">
        <v>215</v>
      </c>
      <c r="C18" s="313"/>
      <c r="D18" s="313"/>
      <c r="E18" s="316"/>
      <c r="F18" s="319">
        <v>5.0900000000000001E-2</v>
      </c>
      <c r="G18" s="319">
        <v>5.0900000000000001E-2</v>
      </c>
      <c r="H18" s="319">
        <v>5.0900000000000001E-2</v>
      </c>
      <c r="I18" s="319">
        <v>5.0900000000000001E-2</v>
      </c>
      <c r="J18" s="340">
        <v>5.0900000000000001E-2</v>
      </c>
    </row>
    <row r="19" spans="2:11" ht="16" thickBot="1" x14ac:dyDescent="0.25">
      <c r="B19" s="314" t="s">
        <v>216</v>
      </c>
      <c r="C19" s="313"/>
      <c r="D19" s="313"/>
      <c r="E19" s="316"/>
      <c r="F19" s="316">
        <f>AVERAGE(E16:F16)</f>
        <v>42</v>
      </c>
      <c r="G19" s="316">
        <f>AVERAGE(F16:G16)</f>
        <v>40</v>
      </c>
      <c r="H19" s="316">
        <f>AVERAGE(G16:H16)</f>
        <v>38</v>
      </c>
      <c r="I19" s="316">
        <f>AVERAGE(H16:I16)</f>
        <v>36</v>
      </c>
      <c r="J19" s="317">
        <f>AVERAGE(I16:J16)</f>
        <v>34</v>
      </c>
    </row>
    <row r="20" spans="2:11" x14ac:dyDescent="0.2">
      <c r="B20" s="314" t="s">
        <v>217</v>
      </c>
      <c r="C20" s="313"/>
      <c r="D20" s="313"/>
      <c r="E20" s="331"/>
      <c r="F20" s="334">
        <f>F18*F19</f>
        <v>2.1377999999999999</v>
      </c>
      <c r="G20" s="334">
        <f>G18*G19</f>
        <v>2.036</v>
      </c>
      <c r="H20" s="334">
        <f>H18*H19</f>
        <v>1.9342000000000001</v>
      </c>
      <c r="I20" s="334">
        <f>I18*I19</f>
        <v>1.8324</v>
      </c>
      <c r="J20" s="335">
        <f>J18*J19</f>
        <v>1.7305999999999999</v>
      </c>
    </row>
    <row r="21" spans="2:11" x14ac:dyDescent="0.2">
      <c r="B21" s="314"/>
      <c r="C21" s="313"/>
      <c r="D21" s="313"/>
      <c r="E21" s="555"/>
      <c r="F21" s="555"/>
      <c r="G21" s="555"/>
      <c r="H21" s="555"/>
      <c r="I21" s="555"/>
      <c r="J21" s="556"/>
    </row>
    <row r="22" spans="2:11" x14ac:dyDescent="0.2">
      <c r="B22" s="312"/>
      <c r="C22" s="313"/>
      <c r="D22" s="313"/>
      <c r="E22" s="555"/>
      <c r="F22" s="555"/>
      <c r="G22" s="555"/>
      <c r="H22" s="555"/>
      <c r="I22" s="555"/>
      <c r="J22" s="556"/>
    </row>
    <row r="23" spans="2:11" x14ac:dyDescent="0.2">
      <c r="B23" s="314" t="s">
        <v>116</v>
      </c>
      <c r="C23" s="315"/>
      <c r="D23" s="315"/>
      <c r="E23" s="316"/>
      <c r="F23" s="321">
        <f ca="1">'Balance Sheet'!H26</f>
        <v>8038.1748750447878</v>
      </c>
      <c r="G23" s="321">
        <f ca="1">'Balance Sheet'!I26</f>
        <v>11022.901771262905</v>
      </c>
      <c r="H23" s="321">
        <f ca="1">'Balance Sheet'!J26</f>
        <v>6114.023717868833</v>
      </c>
      <c r="I23" s="321">
        <f ca="1">'Balance Sheet'!K26</f>
        <v>0</v>
      </c>
      <c r="J23" s="322">
        <f ca="1">'Balance Sheet'!L26</f>
        <v>0</v>
      </c>
    </row>
    <row r="24" spans="2:11" x14ac:dyDescent="0.2">
      <c r="B24" s="314"/>
      <c r="C24" s="315"/>
      <c r="D24" s="315"/>
      <c r="E24" s="316"/>
      <c r="F24" s="316"/>
      <c r="G24" s="316"/>
      <c r="H24" s="316"/>
      <c r="I24" s="316"/>
      <c r="J24" s="317"/>
    </row>
    <row r="25" spans="2:11" x14ac:dyDescent="0.2">
      <c r="B25" s="314" t="s">
        <v>215</v>
      </c>
      <c r="C25" s="315"/>
      <c r="D25" s="315"/>
      <c r="E25" s="316"/>
      <c r="F25" s="319">
        <v>5.0900000000000001E-2</v>
      </c>
      <c r="G25" s="319">
        <v>5.0900000000000001E-2</v>
      </c>
      <c r="H25" s="319">
        <v>5.0900000000000001E-2</v>
      </c>
      <c r="I25" s="319">
        <v>5.0900000000000001E-2</v>
      </c>
      <c r="J25" s="340">
        <v>5.0900000000000001E-2</v>
      </c>
    </row>
    <row r="26" spans="2:11" x14ac:dyDescent="0.2">
      <c r="B26" s="314"/>
      <c r="C26" s="315"/>
      <c r="D26" s="315"/>
      <c r="E26" s="316"/>
      <c r="F26" s="316"/>
      <c r="G26" s="316"/>
      <c r="H26" s="316"/>
      <c r="I26" s="316"/>
      <c r="J26" s="317"/>
    </row>
    <row r="27" spans="2:11" x14ac:dyDescent="0.2">
      <c r="B27" s="314" t="s">
        <v>216</v>
      </c>
      <c r="C27" s="315"/>
      <c r="D27" s="315"/>
      <c r="E27" s="316"/>
      <c r="F27" s="320">
        <f ca="1">AVERAGE(E23:F23)</f>
        <v>8038.1748750447878</v>
      </c>
      <c r="G27" s="320">
        <f ca="1">AVERAGE(F23:G23)</f>
        <v>9530.5383231538472</v>
      </c>
      <c r="H27" s="320">
        <f ca="1">AVERAGE(G23:H23)</f>
        <v>8568.4627445658698</v>
      </c>
      <c r="I27" s="320">
        <f ca="1">AVERAGE(H23:I23)</f>
        <v>3057.0118589344165</v>
      </c>
      <c r="J27" s="323">
        <f ca="1">AVERAGE(I23:J23)</f>
        <v>0</v>
      </c>
    </row>
    <row r="28" spans="2:11" x14ac:dyDescent="0.2">
      <c r="B28" s="314" t="s">
        <v>217</v>
      </c>
      <c r="C28" s="315"/>
      <c r="D28" s="315"/>
      <c r="E28" s="316"/>
      <c r="F28" s="320">
        <f ca="1">F27*F25</f>
        <v>409.14310113977973</v>
      </c>
      <c r="G28" s="320">
        <f ca="1">G27*G25</f>
        <v>485.10440064853083</v>
      </c>
      <c r="H28" s="320">
        <f ca="1">H27*H25</f>
        <v>436.13475369840279</v>
      </c>
      <c r="I28" s="320">
        <f ca="1">I27*I25</f>
        <v>155.6019036197618</v>
      </c>
      <c r="J28" s="323">
        <f ca="1">J27*J25</f>
        <v>0</v>
      </c>
    </row>
    <row r="29" spans="2:11" x14ac:dyDescent="0.2">
      <c r="B29" s="314"/>
      <c r="C29" s="315"/>
      <c r="D29" s="315"/>
      <c r="E29" s="316"/>
      <c r="F29" s="316"/>
      <c r="G29" s="316"/>
      <c r="H29" s="316"/>
      <c r="I29" s="316"/>
      <c r="J29" s="317"/>
    </row>
    <row r="30" spans="2:11" x14ac:dyDescent="0.2">
      <c r="B30" s="234" t="s">
        <v>221</v>
      </c>
      <c r="C30" s="206"/>
      <c r="D30" s="206"/>
      <c r="E30" s="206"/>
      <c r="F30" s="206"/>
      <c r="G30" s="206"/>
      <c r="H30" s="206"/>
      <c r="I30" s="206"/>
      <c r="J30" s="235"/>
    </row>
    <row r="31" spans="2:11" x14ac:dyDescent="0.2">
      <c r="B31" s="136"/>
      <c r="J31" s="138"/>
    </row>
    <row r="32" spans="2:11" x14ac:dyDescent="0.2">
      <c r="B32" s="137" t="s">
        <v>222</v>
      </c>
      <c r="E32" s="32"/>
      <c r="F32" s="31">
        <f>E34</f>
        <v>1481</v>
      </c>
      <c r="G32" s="31">
        <f>F34</f>
        <v>740.5</v>
      </c>
      <c r="H32" s="31"/>
      <c r="I32" s="31"/>
      <c r="J32" s="140"/>
      <c r="K32" s="36"/>
    </row>
    <row r="33" spans="2:11" ht="16" thickBot="1" x14ac:dyDescent="0.25">
      <c r="B33" s="136" t="s">
        <v>223</v>
      </c>
      <c r="E33" s="114"/>
      <c r="F33" s="114">
        <f>$F$32/2</f>
        <v>740.5</v>
      </c>
      <c r="G33" s="114">
        <f>$F$32/2</f>
        <v>740.5</v>
      </c>
      <c r="H33" s="114"/>
      <c r="I33" s="114"/>
      <c r="J33" s="151"/>
      <c r="K33" s="35"/>
    </row>
    <row r="34" spans="2:11" x14ac:dyDescent="0.2">
      <c r="B34" s="137" t="s">
        <v>224</v>
      </c>
      <c r="E34" s="139">
        <v>1481</v>
      </c>
      <c r="F34" s="32">
        <f>F32-F33</f>
        <v>740.5</v>
      </c>
      <c r="G34" s="32">
        <f>G32-G33</f>
        <v>0</v>
      </c>
      <c r="H34" s="32"/>
      <c r="I34" s="32"/>
      <c r="J34" s="141"/>
      <c r="K34" s="35"/>
    </row>
    <row r="35" spans="2:11" x14ac:dyDescent="0.2">
      <c r="B35" s="136"/>
      <c r="J35" s="138"/>
    </row>
    <row r="36" spans="2:11" x14ac:dyDescent="0.2">
      <c r="B36" s="236" t="s">
        <v>225</v>
      </c>
      <c r="E36" s="34">
        <v>3.4000000000000002E-2</v>
      </c>
      <c r="F36" s="34">
        <v>3.4000000000000002E-2</v>
      </c>
      <c r="G36" s="34">
        <v>3.4000000000000002E-2</v>
      </c>
      <c r="H36" s="34"/>
      <c r="I36" s="34"/>
      <c r="J36" s="237"/>
      <c r="K36" s="34"/>
    </row>
    <row r="37" spans="2:11" ht="16" thickBot="1" x14ac:dyDescent="0.25">
      <c r="B37" s="136" t="s">
        <v>216</v>
      </c>
      <c r="E37" s="114"/>
      <c r="F37" s="114">
        <f>AVERAGE(E34:F34)</f>
        <v>1110.75</v>
      </c>
      <c r="G37" s="114">
        <f>AVERAGE(F34:G34)</f>
        <v>370.25</v>
      </c>
      <c r="H37" s="37"/>
      <c r="I37" s="37"/>
      <c r="J37" s="238"/>
      <c r="K37" s="35"/>
    </row>
    <row r="38" spans="2:11" x14ac:dyDescent="0.2">
      <c r="B38" s="236" t="s">
        <v>217</v>
      </c>
      <c r="E38" s="32"/>
      <c r="F38" s="32">
        <f>F37*F36</f>
        <v>37.765500000000003</v>
      </c>
      <c r="G38" s="32">
        <f>G37*G36</f>
        <v>12.588500000000002</v>
      </c>
      <c r="H38" s="35"/>
      <c r="I38" s="35"/>
      <c r="J38" s="239"/>
      <c r="K38" s="35"/>
    </row>
    <row r="39" spans="2:11" x14ac:dyDescent="0.2">
      <c r="B39" s="136"/>
      <c r="J39" s="138"/>
    </row>
    <row r="40" spans="2:11" x14ac:dyDescent="0.2">
      <c r="B40" s="240" t="s">
        <v>226</v>
      </c>
      <c r="E40" s="32"/>
      <c r="F40" s="31">
        <f>E42</f>
        <v>260</v>
      </c>
      <c r="G40" s="31">
        <f>F42</f>
        <v>130</v>
      </c>
      <c r="H40" s="36"/>
      <c r="I40" s="36"/>
      <c r="J40" s="241"/>
      <c r="K40" s="36"/>
    </row>
    <row r="41" spans="2:11" ht="16" thickBot="1" x14ac:dyDescent="0.25">
      <c r="B41" s="136" t="s">
        <v>223</v>
      </c>
      <c r="E41" s="114"/>
      <c r="F41" s="114">
        <f>$F$40/2</f>
        <v>130</v>
      </c>
      <c r="G41" s="114">
        <f>$F$40/2</f>
        <v>130</v>
      </c>
      <c r="H41" s="37"/>
      <c r="I41" s="37"/>
      <c r="J41" s="238"/>
      <c r="K41" s="35"/>
    </row>
    <row r="42" spans="2:11" x14ac:dyDescent="0.2">
      <c r="B42" s="137" t="s">
        <v>227</v>
      </c>
      <c r="E42" s="139">
        <v>260</v>
      </c>
      <c r="F42" s="32">
        <f>F40-F41</f>
        <v>130</v>
      </c>
      <c r="G42" s="32">
        <f>G40-G41</f>
        <v>0</v>
      </c>
      <c r="H42" s="35"/>
      <c r="I42" s="35"/>
      <c r="J42" s="239"/>
      <c r="K42" s="35"/>
    </row>
    <row r="43" spans="2:11" x14ac:dyDescent="0.2">
      <c r="B43" s="136"/>
      <c r="J43" s="138"/>
    </row>
    <row r="44" spans="2:11" x14ac:dyDescent="0.2">
      <c r="B44" s="236" t="s">
        <v>215</v>
      </c>
      <c r="E44" s="34">
        <v>7.8750000000000001E-2</v>
      </c>
      <c r="F44" s="34">
        <v>7.8750000000000001E-2</v>
      </c>
      <c r="G44" s="34">
        <v>7.8750000000000001E-2</v>
      </c>
      <c r="H44" s="34"/>
      <c r="I44" s="34"/>
      <c r="J44" s="237"/>
      <c r="K44" s="34"/>
    </row>
    <row r="45" spans="2:11" ht="16" thickBot="1" x14ac:dyDescent="0.25">
      <c r="B45" s="236" t="s">
        <v>216</v>
      </c>
      <c r="E45" s="37"/>
      <c r="F45" s="37">
        <f>AVERAGE(E42:F42)</f>
        <v>195</v>
      </c>
      <c r="G45" s="37">
        <f>AVERAGE(F42:G42)</f>
        <v>65</v>
      </c>
      <c r="H45" s="37"/>
      <c r="I45" s="37"/>
      <c r="J45" s="238"/>
      <c r="K45" s="35"/>
    </row>
    <row r="46" spans="2:11" x14ac:dyDescent="0.2">
      <c r="B46" s="236" t="s">
        <v>217</v>
      </c>
      <c r="E46" s="35"/>
      <c r="F46" s="35">
        <f t="shared" ref="F46" si="0">F45*F44</f>
        <v>15.356249999999999</v>
      </c>
      <c r="G46" s="35">
        <f>G45*G44</f>
        <v>5.1187500000000004</v>
      </c>
      <c r="H46" s="35"/>
      <c r="I46" s="35"/>
      <c r="J46" s="239"/>
      <c r="K46" s="35"/>
    </row>
    <row r="47" spans="2:11" x14ac:dyDescent="0.2">
      <c r="B47" s="136"/>
      <c r="J47" s="138"/>
    </row>
    <row r="48" spans="2:11" x14ac:dyDescent="0.2">
      <c r="B48" s="240" t="s">
        <v>228</v>
      </c>
      <c r="E48" s="35"/>
      <c r="F48" s="36">
        <f>E50</f>
        <v>599</v>
      </c>
      <c r="G48" s="36">
        <f>F50</f>
        <v>299.5</v>
      </c>
      <c r="H48" s="36"/>
      <c r="I48" s="36"/>
      <c r="J48" s="241"/>
      <c r="K48" s="36"/>
    </row>
    <row r="49" spans="2:12" ht="16" thickBot="1" x14ac:dyDescent="0.25">
      <c r="B49" s="136" t="s">
        <v>223</v>
      </c>
      <c r="E49" s="37"/>
      <c r="F49" s="37">
        <f>$F$48/2</f>
        <v>299.5</v>
      </c>
      <c r="G49" s="37">
        <f>$F$48/2</f>
        <v>299.5</v>
      </c>
      <c r="H49" s="37"/>
      <c r="I49" s="37"/>
      <c r="J49" s="238"/>
      <c r="K49" s="35"/>
    </row>
    <row r="50" spans="2:12" x14ac:dyDescent="0.2">
      <c r="B50" s="137" t="s">
        <v>229</v>
      </c>
      <c r="E50" s="207">
        <v>599</v>
      </c>
      <c r="F50" s="35">
        <f>F48-F49</f>
        <v>299.5</v>
      </c>
      <c r="G50" s="35">
        <f>G48-G49</f>
        <v>0</v>
      </c>
      <c r="H50" s="35"/>
      <c r="I50" s="35"/>
      <c r="J50" s="239"/>
      <c r="K50" s="35"/>
    </row>
    <row r="51" spans="2:12" x14ac:dyDescent="0.2">
      <c r="B51" s="136"/>
      <c r="J51" s="138"/>
    </row>
    <row r="52" spans="2:12" x14ac:dyDescent="0.2">
      <c r="B52" s="236" t="s">
        <v>215</v>
      </c>
      <c r="E52" s="34">
        <v>3.0499999999999999E-2</v>
      </c>
      <c r="F52" s="34">
        <v>3.0499999999999999E-2</v>
      </c>
      <c r="G52" s="34">
        <v>3.0499999999999999E-2</v>
      </c>
      <c r="H52" s="34"/>
      <c r="I52" s="34"/>
      <c r="J52" s="237"/>
      <c r="K52" s="34"/>
    </row>
    <row r="53" spans="2:12" ht="16" thickBot="1" x14ac:dyDescent="0.25">
      <c r="B53" s="236" t="s">
        <v>216</v>
      </c>
      <c r="E53" s="37"/>
      <c r="F53" s="37">
        <f>AVERAGE(E50:F50)</f>
        <v>449.25</v>
      </c>
      <c r="G53" s="37">
        <f>AVERAGE(F50:G50)</f>
        <v>149.75</v>
      </c>
      <c r="H53" s="37"/>
      <c r="I53" s="37"/>
      <c r="J53" s="238"/>
      <c r="K53" s="35"/>
    </row>
    <row r="54" spans="2:12" x14ac:dyDescent="0.2">
      <c r="B54" s="236" t="s">
        <v>217</v>
      </c>
      <c r="E54" s="35"/>
      <c r="F54" s="35">
        <f t="shared" ref="F54" si="1">F53*F52</f>
        <v>13.702125000000001</v>
      </c>
      <c r="G54" s="35">
        <f>G53*G52</f>
        <v>4.5673750000000002</v>
      </c>
      <c r="H54" s="35"/>
      <c r="I54" s="35"/>
      <c r="J54" s="239"/>
      <c r="K54" s="35"/>
    </row>
    <row r="55" spans="2:12" x14ac:dyDescent="0.2">
      <c r="B55" s="136"/>
      <c r="J55" s="138"/>
    </row>
    <row r="56" spans="2:12" x14ac:dyDescent="0.2">
      <c r="B56" s="240" t="s">
        <v>230</v>
      </c>
      <c r="E56" s="32"/>
      <c r="F56" s="31">
        <f>E58</f>
        <v>3792</v>
      </c>
      <c r="G56" s="31">
        <f>F58</f>
        <v>2528</v>
      </c>
      <c r="H56" s="31">
        <f>G58</f>
        <v>1264</v>
      </c>
      <c r="I56" s="36"/>
      <c r="J56" s="241"/>
      <c r="K56" s="36"/>
    </row>
    <row r="57" spans="2:12" ht="16" thickBot="1" x14ac:dyDescent="0.25">
      <c r="B57" s="136" t="s">
        <v>231</v>
      </c>
      <c r="E57" s="114"/>
      <c r="F57" s="114">
        <f>$F$56/3</f>
        <v>1264</v>
      </c>
      <c r="G57" s="114">
        <f>$F$56/3</f>
        <v>1264</v>
      </c>
      <c r="H57" s="114">
        <f>$F$56/3</f>
        <v>1264</v>
      </c>
      <c r="I57" s="37"/>
      <c r="J57" s="238"/>
      <c r="K57" s="35"/>
    </row>
    <row r="58" spans="2:12" x14ac:dyDescent="0.2">
      <c r="B58" s="137" t="s">
        <v>232</v>
      </c>
      <c r="E58" s="139">
        <v>3792</v>
      </c>
      <c r="F58" s="32">
        <f>F56-F57</f>
        <v>2528</v>
      </c>
      <c r="G58" s="32">
        <f>G56-G57</f>
        <v>1264</v>
      </c>
      <c r="H58" s="32">
        <f>H56-H57</f>
        <v>0</v>
      </c>
      <c r="I58" s="35"/>
      <c r="J58" s="239"/>
      <c r="K58" s="35"/>
    </row>
    <row r="59" spans="2:12" x14ac:dyDescent="0.2">
      <c r="B59" s="136"/>
      <c r="J59" s="138"/>
    </row>
    <row r="60" spans="2:12" x14ac:dyDescent="0.2">
      <c r="B60" s="236" t="s">
        <v>215</v>
      </c>
      <c r="E60" s="34">
        <v>4.3749999999999997E-2</v>
      </c>
      <c r="F60" s="34">
        <v>4.3749999999999997E-2</v>
      </c>
      <c r="G60" s="34">
        <v>4.3749999999999997E-2</v>
      </c>
      <c r="H60" s="34"/>
      <c r="I60" s="34"/>
      <c r="J60" s="237"/>
      <c r="K60" s="34"/>
    </row>
    <row r="61" spans="2:12" ht="16" thickBot="1" x14ac:dyDescent="0.25">
      <c r="B61" s="236" t="s">
        <v>216</v>
      </c>
      <c r="E61" s="114"/>
      <c r="F61" s="114">
        <f>AVERAGE(E58:F58)</f>
        <v>3160</v>
      </c>
      <c r="G61" s="114">
        <f>AVERAGE(F58:G58)</f>
        <v>1896</v>
      </c>
      <c r="H61" s="114">
        <f>AVERAGE(G58:H58)</f>
        <v>632</v>
      </c>
      <c r="I61" s="37"/>
      <c r="J61" s="238"/>
      <c r="K61" s="35"/>
      <c r="L61" s="35"/>
    </row>
    <row r="62" spans="2:12" x14ac:dyDescent="0.2">
      <c r="B62" s="236" t="s">
        <v>217</v>
      </c>
      <c r="E62" s="32"/>
      <c r="F62" s="32">
        <f>F61*E60</f>
        <v>138.25</v>
      </c>
      <c r="G62" s="32">
        <f>G61*F60</f>
        <v>82.949999999999989</v>
      </c>
      <c r="H62" s="32">
        <f>H61*G60</f>
        <v>27.65</v>
      </c>
      <c r="I62" s="35"/>
      <c r="J62" s="239"/>
      <c r="K62" s="35"/>
      <c r="L62" s="35"/>
    </row>
    <row r="63" spans="2:12" x14ac:dyDescent="0.2">
      <c r="B63" s="136"/>
      <c r="J63" s="138"/>
    </row>
    <row r="64" spans="2:12" x14ac:dyDescent="0.2">
      <c r="B64" s="240" t="s">
        <v>233</v>
      </c>
      <c r="E64" s="35"/>
      <c r="F64" s="36">
        <f>E66</f>
        <v>996</v>
      </c>
      <c r="G64" s="36">
        <f>F66</f>
        <v>747</v>
      </c>
      <c r="H64" s="36">
        <f>G66</f>
        <v>498</v>
      </c>
      <c r="I64" s="36">
        <f>H66</f>
        <v>249</v>
      </c>
      <c r="J64" s="241"/>
      <c r="K64" s="36"/>
    </row>
    <row r="65" spans="2:11" ht="16" thickBot="1" x14ac:dyDescent="0.25">
      <c r="B65" s="136" t="s">
        <v>234</v>
      </c>
      <c r="E65" s="37"/>
      <c r="F65" s="37">
        <f>$F$64/4</f>
        <v>249</v>
      </c>
      <c r="G65" s="37">
        <f>$F$64/4</f>
        <v>249</v>
      </c>
      <c r="H65" s="37">
        <f>$F$64/4</f>
        <v>249</v>
      </c>
      <c r="I65" s="37">
        <f>$F$64/4</f>
        <v>249</v>
      </c>
      <c r="J65" s="238"/>
      <c r="K65" s="35"/>
    </row>
    <row r="66" spans="2:11" x14ac:dyDescent="0.2">
      <c r="B66" s="137" t="s">
        <v>235</v>
      </c>
      <c r="E66" s="207">
        <v>996</v>
      </c>
      <c r="F66" s="35">
        <f>F64-F65</f>
        <v>747</v>
      </c>
      <c r="G66" s="35">
        <f>G64-G65</f>
        <v>498</v>
      </c>
      <c r="H66" s="35">
        <f>H64-H65</f>
        <v>249</v>
      </c>
      <c r="I66" s="35">
        <f>I64-I65</f>
        <v>0</v>
      </c>
      <c r="J66" s="239"/>
      <c r="K66" s="35"/>
    </row>
    <row r="67" spans="2:11" x14ac:dyDescent="0.2">
      <c r="B67" s="136"/>
      <c r="J67" s="138"/>
    </row>
    <row r="68" spans="2:11" x14ac:dyDescent="0.2">
      <c r="B68" s="236" t="s">
        <v>215</v>
      </c>
      <c r="E68" s="34">
        <v>0.05</v>
      </c>
      <c r="F68" s="34">
        <v>0.05</v>
      </c>
      <c r="G68" s="34">
        <v>0.05</v>
      </c>
      <c r="H68" s="34">
        <v>0.05</v>
      </c>
      <c r="I68" s="34"/>
      <c r="J68" s="237"/>
      <c r="K68" s="34"/>
    </row>
    <row r="69" spans="2:11" ht="16" thickBot="1" x14ac:dyDescent="0.25">
      <c r="B69" s="236" t="s">
        <v>216</v>
      </c>
      <c r="E69" s="37"/>
      <c r="F69" s="37">
        <f>AVERAGE(E66:F66)</f>
        <v>871.5</v>
      </c>
      <c r="G69" s="37">
        <f>AVERAGE(F66:G66)</f>
        <v>622.5</v>
      </c>
      <c r="H69" s="37">
        <f>AVERAGE(G66:H66)</f>
        <v>373.5</v>
      </c>
      <c r="I69" s="37">
        <f>AVERAGE(H66:I66)</f>
        <v>124.5</v>
      </c>
      <c r="J69" s="238"/>
      <c r="K69" s="35"/>
    </row>
    <row r="70" spans="2:11" x14ac:dyDescent="0.2">
      <c r="B70" s="236" t="s">
        <v>217</v>
      </c>
      <c r="F70" s="35">
        <f>F69*E68</f>
        <v>43.575000000000003</v>
      </c>
      <c r="G70" s="35">
        <f>G69*F68</f>
        <v>31.125</v>
      </c>
      <c r="H70" s="35">
        <f>H69*G68</f>
        <v>18.675000000000001</v>
      </c>
      <c r="I70" s="35">
        <f>I69*H68</f>
        <v>6.2250000000000005</v>
      </c>
      <c r="J70" s="239"/>
      <c r="K70" s="35"/>
    </row>
    <row r="71" spans="2:11" x14ac:dyDescent="0.2">
      <c r="B71" s="136"/>
      <c r="J71" s="138"/>
    </row>
    <row r="72" spans="2:11" x14ac:dyDescent="0.2">
      <c r="B72" s="240" t="s">
        <v>236</v>
      </c>
      <c r="E72" s="32"/>
      <c r="F72" s="31">
        <f>E74</f>
        <v>1406</v>
      </c>
      <c r="G72" s="31">
        <f>F74</f>
        <v>1124.8</v>
      </c>
      <c r="H72" s="31">
        <f>G74</f>
        <v>843.59999999999991</v>
      </c>
      <c r="I72" s="31">
        <f>H74</f>
        <v>562.39999999999986</v>
      </c>
      <c r="J72" s="140">
        <f>I74</f>
        <v>281.19999999999987</v>
      </c>
      <c r="K72" s="36"/>
    </row>
    <row r="73" spans="2:11" ht="16" thickBot="1" x14ac:dyDescent="0.25">
      <c r="B73" s="136" t="s">
        <v>237</v>
      </c>
      <c r="E73" s="114"/>
      <c r="F73" s="114">
        <f>$F$72/5</f>
        <v>281.2</v>
      </c>
      <c r="G73" s="114">
        <f>$F$72/5</f>
        <v>281.2</v>
      </c>
      <c r="H73" s="114">
        <f>$F$72/5</f>
        <v>281.2</v>
      </c>
      <c r="I73" s="114">
        <f>$F$72/5</f>
        <v>281.2</v>
      </c>
      <c r="J73" s="151">
        <f>$F$72/5</f>
        <v>281.2</v>
      </c>
      <c r="K73" s="35"/>
    </row>
    <row r="74" spans="2:11" x14ac:dyDescent="0.2">
      <c r="B74" s="137" t="s">
        <v>238</v>
      </c>
      <c r="E74" s="139">
        <v>1406</v>
      </c>
      <c r="F74" s="32">
        <f>F72-F73</f>
        <v>1124.8</v>
      </c>
      <c r="G74" s="32">
        <f>G72-G73</f>
        <v>843.59999999999991</v>
      </c>
      <c r="H74" s="32">
        <f>H72-H73</f>
        <v>562.39999999999986</v>
      </c>
      <c r="I74" s="32">
        <f>I72-I73</f>
        <v>281.19999999999987</v>
      </c>
      <c r="J74" s="141">
        <f>J72-J73</f>
        <v>0</v>
      </c>
      <c r="K74" s="35"/>
    </row>
    <row r="75" spans="2:11" x14ac:dyDescent="0.2">
      <c r="B75" s="136"/>
      <c r="J75" s="138"/>
    </row>
    <row r="76" spans="2:11" x14ac:dyDescent="0.2">
      <c r="B76" s="236" t="s">
        <v>215</v>
      </c>
      <c r="E76" s="34">
        <v>2.4E-2</v>
      </c>
      <c r="F76" s="34">
        <v>2.4E-2</v>
      </c>
      <c r="G76" s="34">
        <v>2.4E-2</v>
      </c>
      <c r="H76" s="34">
        <v>2.4E-2</v>
      </c>
      <c r="I76" s="34">
        <v>2.4E-2</v>
      </c>
      <c r="J76" s="237"/>
      <c r="K76" s="34"/>
    </row>
    <row r="77" spans="2:11" ht="16" thickBot="1" x14ac:dyDescent="0.25">
      <c r="B77" s="236" t="s">
        <v>216</v>
      </c>
      <c r="E77" s="37"/>
      <c r="F77" s="114">
        <f>AVERAGE(E74:F74)</f>
        <v>1265.4000000000001</v>
      </c>
      <c r="G77" s="37">
        <f>AVERAGE(F74:G74)</f>
        <v>984.19999999999993</v>
      </c>
      <c r="H77" s="37">
        <f>AVERAGE(G74:H74)</f>
        <v>702.99999999999989</v>
      </c>
      <c r="I77" s="37">
        <f>AVERAGE(H74:I74)</f>
        <v>421.79999999999984</v>
      </c>
      <c r="J77" s="238">
        <f>AVERAGE(I74:J74)</f>
        <v>140.59999999999994</v>
      </c>
      <c r="K77" s="35"/>
    </row>
    <row r="78" spans="2:11" x14ac:dyDescent="0.2">
      <c r="B78" s="236" t="s">
        <v>217</v>
      </c>
      <c r="F78" s="35">
        <f>F77*E76</f>
        <v>30.369600000000002</v>
      </c>
      <c r="G78" s="35">
        <f>G77*F76</f>
        <v>23.620799999999999</v>
      </c>
      <c r="H78" s="35">
        <f>H77*G76</f>
        <v>16.871999999999996</v>
      </c>
      <c r="I78" s="35">
        <f>I77*H76</f>
        <v>10.123199999999997</v>
      </c>
      <c r="J78" s="239">
        <f>J77*I76</f>
        <v>3.3743999999999987</v>
      </c>
      <c r="K78" s="35"/>
    </row>
    <row r="79" spans="2:11" x14ac:dyDescent="0.2">
      <c r="B79" s="136"/>
      <c r="J79" s="138"/>
    </row>
    <row r="80" spans="2:11" x14ac:dyDescent="0.2">
      <c r="B80" s="240" t="s">
        <v>239</v>
      </c>
      <c r="E80" s="35"/>
      <c r="F80" s="36">
        <f>E82</f>
        <v>993</v>
      </c>
      <c r="G80" s="36">
        <f>F82</f>
        <v>794.4</v>
      </c>
      <c r="H80" s="36">
        <f>G82</f>
        <v>595.79999999999995</v>
      </c>
      <c r="I80" s="36">
        <f>H82</f>
        <v>397.19999999999993</v>
      </c>
      <c r="J80" s="241">
        <f>I82</f>
        <v>198.59999999999994</v>
      </c>
      <c r="K80" s="36"/>
    </row>
    <row r="81" spans="2:12" ht="16" thickBot="1" x14ac:dyDescent="0.25">
      <c r="B81" s="136" t="s">
        <v>237</v>
      </c>
      <c r="E81" s="37"/>
      <c r="F81" s="37">
        <f>$F$80/5</f>
        <v>198.6</v>
      </c>
      <c r="G81" s="37">
        <f>$F$80/5</f>
        <v>198.6</v>
      </c>
      <c r="H81" s="37">
        <f>$F$80/5</f>
        <v>198.6</v>
      </c>
      <c r="I81" s="37">
        <f>$F$80/5</f>
        <v>198.6</v>
      </c>
      <c r="J81" s="238">
        <f>$F$80/5</f>
        <v>198.6</v>
      </c>
      <c r="K81" s="35"/>
    </row>
    <row r="82" spans="2:12" x14ac:dyDescent="0.2">
      <c r="B82" s="137" t="s">
        <v>240</v>
      </c>
      <c r="E82" s="207">
        <v>993</v>
      </c>
      <c r="F82" s="35">
        <f>F80-F81</f>
        <v>794.4</v>
      </c>
      <c r="G82" s="35">
        <f>G80-G81</f>
        <v>595.79999999999995</v>
      </c>
      <c r="H82" s="35">
        <f>H80-H81</f>
        <v>397.19999999999993</v>
      </c>
      <c r="I82" s="35">
        <f>I80-I81</f>
        <v>198.59999999999994</v>
      </c>
      <c r="J82" s="239">
        <f>J80-J81</f>
        <v>0</v>
      </c>
      <c r="K82" s="35"/>
    </row>
    <row r="83" spans="2:12" x14ac:dyDescent="0.2">
      <c r="B83" s="136"/>
      <c r="J83" s="138"/>
    </row>
    <row r="84" spans="2:12" x14ac:dyDescent="0.2">
      <c r="B84" s="236" t="s">
        <v>215</v>
      </c>
      <c r="E84" s="34">
        <v>4.4999999999999998E-2</v>
      </c>
      <c r="F84" s="34">
        <v>4.4999999999999998E-2</v>
      </c>
      <c r="G84" s="34">
        <v>4.4999999999999998E-2</v>
      </c>
      <c r="H84" s="34">
        <v>4.4999999999999998E-2</v>
      </c>
      <c r="I84" s="34">
        <v>4.4999999999999998E-2</v>
      </c>
      <c r="J84" s="237"/>
      <c r="K84" s="34"/>
    </row>
    <row r="85" spans="2:12" ht="16" thickBot="1" x14ac:dyDescent="0.25">
      <c r="B85" s="236" t="s">
        <v>216</v>
      </c>
      <c r="E85" s="37"/>
      <c r="F85" s="37">
        <f>AVERAGE(E82:F82)</f>
        <v>893.7</v>
      </c>
      <c r="G85" s="37">
        <f>AVERAGE(F82:G82)</f>
        <v>695.09999999999991</v>
      </c>
      <c r="H85" s="37">
        <f>AVERAGE(G82:H82)</f>
        <v>496.49999999999994</v>
      </c>
      <c r="I85" s="37">
        <f>AVERAGE(H82:I82)</f>
        <v>297.89999999999992</v>
      </c>
      <c r="J85" s="238">
        <f>AVERAGE(I82:J82)</f>
        <v>99.299999999999969</v>
      </c>
      <c r="K85" s="35"/>
    </row>
    <row r="86" spans="2:12" x14ac:dyDescent="0.2">
      <c r="B86" s="236" t="s">
        <v>217</v>
      </c>
      <c r="F86" s="35">
        <f>F85*E84</f>
        <v>40.216500000000003</v>
      </c>
      <c r="G86" s="35">
        <f>G85*F84</f>
        <v>31.279499999999995</v>
      </c>
      <c r="H86" s="35">
        <f>H85*G84</f>
        <v>22.342499999999998</v>
      </c>
      <c r="I86" s="35">
        <f>I85*H84</f>
        <v>13.405499999999996</v>
      </c>
      <c r="J86" s="239">
        <f>J85*I84</f>
        <v>4.4684999999999988</v>
      </c>
      <c r="K86" s="35"/>
    </row>
    <row r="87" spans="2:12" x14ac:dyDescent="0.2">
      <c r="B87" s="136"/>
      <c r="J87" s="138"/>
    </row>
    <row r="88" spans="2:12" x14ac:dyDescent="0.2">
      <c r="B88" s="240" t="s">
        <v>241</v>
      </c>
      <c r="E88" s="32"/>
      <c r="F88" s="31">
        <f>E90</f>
        <v>1420</v>
      </c>
      <c r="G88" s="31">
        <f>F90</f>
        <v>1183.3333333333333</v>
      </c>
      <c r="H88" s="31">
        <f>G90</f>
        <v>946.66666666666663</v>
      </c>
      <c r="I88" s="31">
        <f>H90</f>
        <v>710</v>
      </c>
      <c r="J88" s="140">
        <f>I90</f>
        <v>473.33333333333337</v>
      </c>
      <c r="K88" s="36"/>
    </row>
    <row r="89" spans="2:12" ht="16" thickBot="1" x14ac:dyDescent="0.25">
      <c r="B89" s="136" t="s">
        <v>242</v>
      </c>
      <c r="E89" s="114"/>
      <c r="F89" s="114">
        <f>$F$88/6</f>
        <v>236.66666666666666</v>
      </c>
      <c r="G89" s="114">
        <f>$F$88/6</f>
        <v>236.66666666666666</v>
      </c>
      <c r="H89" s="114">
        <f>$F$88/6</f>
        <v>236.66666666666666</v>
      </c>
      <c r="I89" s="114">
        <f>$F$88/6</f>
        <v>236.66666666666666</v>
      </c>
      <c r="J89" s="151">
        <f>$F$88/6</f>
        <v>236.66666666666666</v>
      </c>
      <c r="K89" s="35"/>
    </row>
    <row r="90" spans="2:12" x14ac:dyDescent="0.2">
      <c r="B90" s="137" t="s">
        <v>243</v>
      </c>
      <c r="E90" s="139">
        <v>1420</v>
      </c>
      <c r="F90" s="32">
        <f>F88-F89</f>
        <v>1183.3333333333333</v>
      </c>
      <c r="G90" s="32">
        <f>G88-G89</f>
        <v>946.66666666666663</v>
      </c>
      <c r="H90" s="32">
        <f>H88-H89</f>
        <v>710</v>
      </c>
      <c r="I90" s="32">
        <f>I88-I89</f>
        <v>473.33333333333337</v>
      </c>
      <c r="J90" s="141">
        <f>J88-J89</f>
        <v>236.66666666666671</v>
      </c>
      <c r="K90" s="35"/>
    </row>
    <row r="91" spans="2:12" x14ac:dyDescent="0.2">
      <c r="B91" s="136"/>
      <c r="J91" s="138"/>
    </row>
    <row r="92" spans="2:12" x14ac:dyDescent="0.2">
      <c r="B92" s="236" t="s">
        <v>215</v>
      </c>
      <c r="E92" s="34">
        <v>2.375E-2</v>
      </c>
      <c r="F92" s="34">
        <v>2.375E-2</v>
      </c>
      <c r="G92" s="34">
        <v>2.375E-2</v>
      </c>
      <c r="H92" s="34">
        <v>2.375E-2</v>
      </c>
      <c r="I92" s="34">
        <v>2.375E-2</v>
      </c>
      <c r="J92" s="237">
        <v>2.375E-2</v>
      </c>
      <c r="K92" s="34"/>
    </row>
    <row r="93" spans="2:12" ht="16" thickBot="1" x14ac:dyDescent="0.25">
      <c r="B93" s="236" t="s">
        <v>216</v>
      </c>
      <c r="E93" s="37"/>
      <c r="F93" s="114">
        <f>AVERAGE(E90:F90)</f>
        <v>1301.6666666666665</v>
      </c>
      <c r="G93" s="114">
        <f>AVERAGE(F90:G90)</f>
        <v>1065</v>
      </c>
      <c r="H93" s="114">
        <f>AVERAGE(G90:H90)</f>
        <v>828.33333333333326</v>
      </c>
      <c r="I93" s="114">
        <f>AVERAGE(H90:I90)</f>
        <v>591.66666666666674</v>
      </c>
      <c r="J93" s="151">
        <f>AVERAGE(I90:J90)</f>
        <v>355.00000000000006</v>
      </c>
      <c r="K93" s="35"/>
      <c r="L93" s="35"/>
    </row>
    <row r="94" spans="2:12" x14ac:dyDescent="0.2">
      <c r="B94" s="236" t="s">
        <v>217</v>
      </c>
      <c r="F94" s="32">
        <f>F93*E92</f>
        <v>30.914583333333329</v>
      </c>
      <c r="G94" s="32">
        <f>G93*F92</f>
        <v>25.293749999999999</v>
      </c>
      <c r="H94" s="32">
        <f>H93*G92</f>
        <v>19.672916666666666</v>
      </c>
      <c r="I94" s="32">
        <f>I93*H92</f>
        <v>14.052083333333336</v>
      </c>
      <c r="J94" s="141">
        <f>J93*I92</f>
        <v>8.4312500000000021</v>
      </c>
      <c r="K94" s="35"/>
      <c r="L94" s="35"/>
    </row>
    <row r="95" spans="2:12" x14ac:dyDescent="0.2">
      <c r="B95" s="136"/>
      <c r="J95" s="138"/>
    </row>
    <row r="96" spans="2:12" x14ac:dyDescent="0.2">
      <c r="B96" s="240" t="s">
        <v>244</v>
      </c>
      <c r="E96" s="35"/>
      <c r="F96" s="36">
        <f>E98</f>
        <v>750</v>
      </c>
      <c r="G96" s="36">
        <f>F98</f>
        <v>625</v>
      </c>
      <c r="H96" s="36">
        <f>G98</f>
        <v>500</v>
      </c>
      <c r="I96" s="36">
        <f>H98</f>
        <v>375</v>
      </c>
      <c r="J96" s="241">
        <f>I98</f>
        <v>250</v>
      </c>
      <c r="K96" s="36"/>
    </row>
    <row r="97" spans="2:12" ht="16" thickBot="1" x14ac:dyDescent="0.25">
      <c r="B97" s="136" t="s">
        <v>242</v>
      </c>
      <c r="E97" s="37"/>
      <c r="F97" s="37">
        <f>$F$96/6</f>
        <v>125</v>
      </c>
      <c r="G97" s="37">
        <f>$F$96/6</f>
        <v>125</v>
      </c>
      <c r="H97" s="37">
        <f>$F$96/6</f>
        <v>125</v>
      </c>
      <c r="I97" s="37">
        <f>$F$96/6</f>
        <v>125</v>
      </c>
      <c r="J97" s="238">
        <f>$F$96/6</f>
        <v>125</v>
      </c>
      <c r="K97" s="35"/>
    </row>
    <row r="98" spans="2:12" x14ac:dyDescent="0.2">
      <c r="B98" s="137" t="s">
        <v>245</v>
      </c>
      <c r="E98" s="207">
        <v>750</v>
      </c>
      <c r="F98" s="35">
        <f>F96-F97</f>
        <v>625</v>
      </c>
      <c r="G98" s="35">
        <f>G96-G97</f>
        <v>500</v>
      </c>
      <c r="H98" s="35">
        <f>H96-H97</f>
        <v>375</v>
      </c>
      <c r="I98" s="35">
        <f>I96-I97</f>
        <v>250</v>
      </c>
      <c r="J98" s="239">
        <f>J96-J97</f>
        <v>125</v>
      </c>
      <c r="K98" s="35"/>
    </row>
    <row r="99" spans="2:12" x14ac:dyDescent="0.2">
      <c r="B99" s="136"/>
      <c r="J99" s="138"/>
    </row>
    <row r="100" spans="2:12" x14ac:dyDescent="0.2">
      <c r="B100" s="236" t="s">
        <v>215</v>
      </c>
      <c r="E100" s="34">
        <v>5.1249999999999997E-2</v>
      </c>
      <c r="F100" s="34">
        <v>5.1249999999999997E-2</v>
      </c>
      <c r="G100" s="34">
        <v>5.1249999999999997E-2</v>
      </c>
      <c r="H100" s="34">
        <v>5.1249999999999997E-2</v>
      </c>
      <c r="I100" s="34">
        <v>5.1249999999999997E-2</v>
      </c>
      <c r="J100" s="237">
        <v>5.1249999999999997E-2</v>
      </c>
      <c r="K100" s="34"/>
    </row>
    <row r="101" spans="2:12" ht="16" thickBot="1" x14ac:dyDescent="0.25">
      <c r="B101" s="236" t="s">
        <v>216</v>
      </c>
      <c r="E101" s="37"/>
      <c r="F101" s="37">
        <f>AVERAGE(E98:F98)</f>
        <v>687.5</v>
      </c>
      <c r="G101" s="37">
        <f>AVERAGE(F98:G98)</f>
        <v>562.5</v>
      </c>
      <c r="H101" s="37">
        <f>AVERAGE(G98:H98)</f>
        <v>437.5</v>
      </c>
      <c r="I101" s="37">
        <f>AVERAGE(H98:I98)</f>
        <v>312.5</v>
      </c>
      <c r="J101" s="238">
        <f>AVERAGE(I98:J98)</f>
        <v>187.5</v>
      </c>
      <c r="K101" s="35"/>
      <c r="L101" s="35"/>
    </row>
    <row r="102" spans="2:12" x14ac:dyDescent="0.2">
      <c r="B102" s="236" t="s">
        <v>217</v>
      </c>
      <c r="F102" s="35">
        <f>F101*E100</f>
        <v>35.234375</v>
      </c>
      <c r="G102" s="35">
        <f>G101*F100</f>
        <v>28.828125</v>
      </c>
      <c r="H102" s="35">
        <f>H101*G100</f>
        <v>22.421875</v>
      </c>
      <c r="I102" s="35">
        <f>I101*H100</f>
        <v>16.015625</v>
      </c>
      <c r="J102" s="239">
        <f>J101*I100</f>
        <v>9.609375</v>
      </c>
      <c r="K102" s="35"/>
      <c r="L102" s="35"/>
    </row>
    <row r="103" spans="2:12" x14ac:dyDescent="0.2">
      <c r="B103" s="136"/>
      <c r="J103" s="138"/>
    </row>
    <row r="104" spans="2:12" x14ac:dyDescent="0.2">
      <c r="B104" s="240" t="s">
        <v>246</v>
      </c>
      <c r="E104" s="32"/>
      <c r="F104" s="31">
        <f>E106</f>
        <v>1243</v>
      </c>
      <c r="G104" s="31">
        <f>F106</f>
        <v>1065.4285714285713</v>
      </c>
      <c r="H104" s="31">
        <f>G106</f>
        <v>887.85714285714278</v>
      </c>
      <c r="I104" s="31">
        <f>H106</f>
        <v>710.28571428571422</v>
      </c>
      <c r="J104" s="140">
        <f>I106</f>
        <v>532.71428571428567</v>
      </c>
      <c r="K104" s="36"/>
    </row>
    <row r="105" spans="2:12" ht="16" thickBot="1" x14ac:dyDescent="0.25">
      <c r="B105" s="136" t="s">
        <v>247</v>
      </c>
      <c r="E105" s="114"/>
      <c r="F105" s="114">
        <f>$F$104/7</f>
        <v>177.57142857142858</v>
      </c>
      <c r="G105" s="114">
        <f>$F$104/7</f>
        <v>177.57142857142858</v>
      </c>
      <c r="H105" s="114">
        <f>$F$104/7</f>
        <v>177.57142857142858</v>
      </c>
      <c r="I105" s="114">
        <f>$F$104/7</f>
        <v>177.57142857142858</v>
      </c>
      <c r="J105" s="151">
        <f>$F$104/7</f>
        <v>177.57142857142858</v>
      </c>
      <c r="K105" s="35"/>
    </row>
    <row r="106" spans="2:12" x14ac:dyDescent="0.2">
      <c r="B106" s="137" t="s">
        <v>248</v>
      </c>
      <c r="E106" s="139">
        <v>1243</v>
      </c>
      <c r="F106" s="32">
        <f>F104-F105</f>
        <v>1065.4285714285713</v>
      </c>
      <c r="G106" s="32">
        <f>G104-G105</f>
        <v>887.85714285714278</v>
      </c>
      <c r="H106" s="32">
        <f>H104-H105</f>
        <v>710.28571428571422</v>
      </c>
      <c r="I106" s="32">
        <f>I104-I105</f>
        <v>532.71428571428567</v>
      </c>
      <c r="J106" s="141">
        <f>J104-J105</f>
        <v>355.14285714285711</v>
      </c>
      <c r="K106" s="35"/>
    </row>
    <row r="107" spans="2:12" x14ac:dyDescent="0.2">
      <c r="B107" s="136"/>
      <c r="J107" s="138"/>
    </row>
    <row r="108" spans="2:12" x14ac:dyDescent="0.2">
      <c r="B108" s="236" t="s">
        <v>215</v>
      </c>
      <c r="E108" s="34">
        <v>4.8750000000000002E-2</v>
      </c>
      <c r="F108" s="34">
        <v>4.8750000000000002E-2</v>
      </c>
      <c r="G108" s="34">
        <v>4.8750000000000002E-2</v>
      </c>
      <c r="H108" s="34">
        <v>4.8750000000000002E-2</v>
      </c>
      <c r="I108" s="34">
        <v>4.8750000000000002E-2</v>
      </c>
      <c r="J108" s="237">
        <v>4.8750000000000002E-2</v>
      </c>
      <c r="K108" s="34"/>
    </row>
    <row r="109" spans="2:12" ht="16" thickBot="1" x14ac:dyDescent="0.25">
      <c r="B109" s="236" t="s">
        <v>216</v>
      </c>
      <c r="E109" s="114"/>
      <c r="F109" s="114">
        <f>AVERAGE(E106:F106)</f>
        <v>1154.2142857142858</v>
      </c>
      <c r="G109" s="114">
        <f>AVERAGE(F106:G106)</f>
        <v>976.64285714285711</v>
      </c>
      <c r="H109" s="114">
        <f>AVERAGE(G106:H106)</f>
        <v>799.07142857142844</v>
      </c>
      <c r="I109" s="114">
        <f>AVERAGE(H106:I106)</f>
        <v>621.5</v>
      </c>
      <c r="J109" s="151">
        <f>AVERAGE(I106:J106)</f>
        <v>443.92857142857139</v>
      </c>
      <c r="K109" s="35"/>
      <c r="L109" s="35"/>
    </row>
    <row r="110" spans="2:12" x14ac:dyDescent="0.2">
      <c r="B110" s="236" t="s">
        <v>217</v>
      </c>
      <c r="E110" s="32"/>
      <c r="F110" s="32">
        <f>F109*E108</f>
        <v>56.267946428571435</v>
      </c>
      <c r="G110" s="32">
        <f>G109*F108</f>
        <v>47.611339285714287</v>
      </c>
      <c r="H110" s="32">
        <f>H109*G108</f>
        <v>38.954732142857139</v>
      </c>
      <c r="I110" s="32">
        <f>I109*H108</f>
        <v>30.298125000000002</v>
      </c>
      <c r="J110" s="141">
        <f>J109*I108</f>
        <v>21.641517857142855</v>
      </c>
      <c r="K110" s="35"/>
      <c r="L110" s="35"/>
    </row>
    <row r="111" spans="2:12" x14ac:dyDescent="0.2">
      <c r="B111" s="136"/>
      <c r="E111" s="32"/>
      <c r="F111" s="32"/>
      <c r="G111" s="32"/>
      <c r="H111" s="32"/>
      <c r="I111" s="32"/>
      <c r="J111" s="141"/>
    </row>
    <row r="112" spans="2:12" x14ac:dyDescent="0.2">
      <c r="B112" s="240" t="s">
        <v>249</v>
      </c>
      <c r="E112" s="32"/>
      <c r="F112" s="31">
        <f>E114</f>
        <v>45</v>
      </c>
      <c r="G112" s="31">
        <f>F114</f>
        <v>39.375</v>
      </c>
      <c r="H112" s="31">
        <f>G114</f>
        <v>33.75</v>
      </c>
      <c r="I112" s="31">
        <f>H114</f>
        <v>28.125</v>
      </c>
      <c r="J112" s="140">
        <f>I114</f>
        <v>22.5</v>
      </c>
      <c r="K112" s="36"/>
    </row>
    <row r="113" spans="2:12" ht="16" thickBot="1" x14ac:dyDescent="0.25">
      <c r="B113" s="136" t="s">
        <v>250</v>
      </c>
      <c r="E113" s="114"/>
      <c r="F113" s="114">
        <f>$F$112/8</f>
        <v>5.625</v>
      </c>
      <c r="G113" s="114">
        <f>$F$112/8</f>
        <v>5.625</v>
      </c>
      <c r="H113" s="114">
        <f>$F$112/8</f>
        <v>5.625</v>
      </c>
      <c r="I113" s="114">
        <f>$F$112/8</f>
        <v>5.625</v>
      </c>
      <c r="J113" s="151">
        <f>$F$112/8</f>
        <v>5.625</v>
      </c>
      <c r="K113" s="35"/>
    </row>
    <row r="114" spans="2:12" x14ac:dyDescent="0.2">
      <c r="B114" s="137" t="s">
        <v>251</v>
      </c>
      <c r="E114" s="139">
        <v>45</v>
      </c>
      <c r="F114" s="32">
        <f>F112-F113</f>
        <v>39.375</v>
      </c>
      <c r="G114" s="32">
        <f>G112-G113</f>
        <v>33.75</v>
      </c>
      <c r="H114" s="32">
        <f>H112-H113</f>
        <v>28.125</v>
      </c>
      <c r="I114" s="32">
        <f>I112-I113</f>
        <v>22.5</v>
      </c>
      <c r="J114" s="141">
        <f>J112-J113</f>
        <v>16.875</v>
      </c>
      <c r="K114" s="35"/>
    </row>
    <row r="115" spans="2:12" x14ac:dyDescent="0.2">
      <c r="B115" s="136"/>
      <c r="J115" s="138"/>
    </row>
    <row r="116" spans="2:12" x14ac:dyDescent="0.2">
      <c r="B116" s="236" t="s">
        <v>215</v>
      </c>
      <c r="E116" s="34">
        <v>8.0799999999999997E-2</v>
      </c>
      <c r="F116" s="34">
        <v>8.0799999999999997E-2</v>
      </c>
      <c r="G116" s="34">
        <v>8.0799999999999997E-2</v>
      </c>
      <c r="H116" s="34">
        <v>8.0799999999999997E-2</v>
      </c>
      <c r="I116" s="34">
        <v>8.0799999999999997E-2</v>
      </c>
      <c r="J116" s="237">
        <v>8.0799999999999997E-2</v>
      </c>
      <c r="K116" s="34"/>
    </row>
    <row r="117" spans="2:12" ht="16" thickBot="1" x14ac:dyDescent="0.25">
      <c r="B117" s="236" t="s">
        <v>216</v>
      </c>
      <c r="E117" s="37"/>
      <c r="F117" s="37">
        <f>AVERAGE(E114:F114)</f>
        <v>42.1875</v>
      </c>
      <c r="G117" s="37">
        <f>AVERAGE(F114:G114)</f>
        <v>36.5625</v>
      </c>
      <c r="H117" s="37">
        <f>AVERAGE(G114:H114)</f>
        <v>30.9375</v>
      </c>
      <c r="I117" s="37">
        <f>AVERAGE(H114:I114)</f>
        <v>25.3125</v>
      </c>
      <c r="J117" s="238">
        <f>AVERAGE(I114:J114)</f>
        <v>19.6875</v>
      </c>
      <c r="K117" s="35"/>
      <c r="L117" s="35"/>
    </row>
    <row r="118" spans="2:12" x14ac:dyDescent="0.2">
      <c r="B118" s="236" t="s">
        <v>217</v>
      </c>
      <c r="F118" s="35">
        <f>F117*E116</f>
        <v>3.4087499999999999</v>
      </c>
      <c r="G118" s="35">
        <f>G117*F116</f>
        <v>2.95425</v>
      </c>
      <c r="H118" s="35">
        <f>H117*G116</f>
        <v>2.4997499999999997</v>
      </c>
      <c r="I118" s="35">
        <f>I117*H116</f>
        <v>2.0452499999999998</v>
      </c>
      <c r="J118" s="239">
        <f>J117*I116</f>
        <v>1.5907499999999999</v>
      </c>
      <c r="K118" s="35"/>
      <c r="L118" s="35"/>
    </row>
    <row r="119" spans="2:12" x14ac:dyDescent="0.2">
      <c r="B119" s="136"/>
      <c r="J119" s="138"/>
    </row>
    <row r="120" spans="2:12" x14ac:dyDescent="0.2">
      <c r="B120" s="240" t="s">
        <v>252</v>
      </c>
      <c r="E120" s="32"/>
      <c r="F120" s="31">
        <f>E122</f>
        <v>796</v>
      </c>
      <c r="G120" s="31">
        <f>F122</f>
        <v>696.5</v>
      </c>
      <c r="H120" s="31">
        <f>G122</f>
        <v>597</v>
      </c>
      <c r="I120" s="31">
        <f>H122</f>
        <v>497.5</v>
      </c>
      <c r="J120" s="140">
        <f>I122</f>
        <v>398</v>
      </c>
      <c r="K120" s="36"/>
    </row>
    <row r="121" spans="2:12" ht="16" thickBot="1" x14ac:dyDescent="0.25">
      <c r="B121" s="136" t="s">
        <v>250</v>
      </c>
      <c r="E121" s="114"/>
      <c r="F121" s="114">
        <f>$F$120/8</f>
        <v>99.5</v>
      </c>
      <c r="G121" s="114">
        <f>$F$120/8</f>
        <v>99.5</v>
      </c>
      <c r="H121" s="114">
        <f>$F$120/8</f>
        <v>99.5</v>
      </c>
      <c r="I121" s="114">
        <f>$F$120/8</f>
        <v>99.5</v>
      </c>
      <c r="J121" s="151">
        <f>$F$120/8</f>
        <v>99.5</v>
      </c>
      <c r="K121" s="35"/>
    </row>
    <row r="122" spans="2:12" x14ac:dyDescent="0.2">
      <c r="B122" s="137" t="s">
        <v>253</v>
      </c>
      <c r="E122" s="139">
        <v>796</v>
      </c>
      <c r="F122" s="32">
        <f>F120-F121</f>
        <v>696.5</v>
      </c>
      <c r="G122" s="32">
        <f>G120-G121</f>
        <v>597</v>
      </c>
      <c r="H122" s="32">
        <f>H120-H121</f>
        <v>497.5</v>
      </c>
      <c r="I122" s="32">
        <f>I120-I121</f>
        <v>398</v>
      </c>
      <c r="J122" s="141">
        <f>J120-J121</f>
        <v>298.5</v>
      </c>
      <c r="K122" s="35"/>
    </row>
    <row r="123" spans="2:12" x14ac:dyDescent="0.2">
      <c r="B123" s="136"/>
      <c r="J123" s="138"/>
    </row>
    <row r="124" spans="2:12" x14ac:dyDescent="0.2">
      <c r="B124" s="236" t="s">
        <v>215</v>
      </c>
      <c r="E124" s="34">
        <v>5.3999999999999999E-2</v>
      </c>
      <c r="F124" s="34">
        <v>5.3999999999999999E-2</v>
      </c>
      <c r="G124" s="34">
        <v>5.3999999999999999E-2</v>
      </c>
      <c r="H124" s="34">
        <v>5.3999999999999999E-2</v>
      </c>
      <c r="I124" s="34">
        <v>5.3999999999999999E-2</v>
      </c>
      <c r="J124" s="237">
        <v>5.3999999999999999E-2</v>
      </c>
      <c r="K124" s="34"/>
    </row>
    <row r="125" spans="2:12" ht="16" thickBot="1" x14ac:dyDescent="0.25">
      <c r="B125" s="236" t="s">
        <v>216</v>
      </c>
      <c r="E125" s="37"/>
      <c r="F125" s="37">
        <f>AVERAGE(E122:F122)</f>
        <v>746.25</v>
      </c>
      <c r="G125" s="37">
        <f>AVERAGE(F122:G122)</f>
        <v>646.75</v>
      </c>
      <c r="H125" s="37">
        <f>AVERAGE(G122:H122)</f>
        <v>547.25</v>
      </c>
      <c r="I125" s="37">
        <f>AVERAGE(H122:I122)</f>
        <v>447.75</v>
      </c>
      <c r="J125" s="238">
        <f>AVERAGE(I122:J122)</f>
        <v>348.25</v>
      </c>
      <c r="K125" s="35"/>
      <c r="L125" s="35"/>
    </row>
    <row r="126" spans="2:12" x14ac:dyDescent="0.2">
      <c r="B126" s="236" t="s">
        <v>217</v>
      </c>
      <c r="F126" s="35">
        <f>F125*E124</f>
        <v>40.297499999999999</v>
      </c>
      <c r="G126" s="35">
        <f>G125*F124</f>
        <v>34.924500000000002</v>
      </c>
      <c r="H126" s="35">
        <f>H125*G124</f>
        <v>29.551500000000001</v>
      </c>
      <c r="I126" s="35">
        <f>I125*H124</f>
        <v>24.1785</v>
      </c>
      <c r="J126" s="239">
        <f>J125*I124</f>
        <v>18.805499999999999</v>
      </c>
      <c r="K126" s="35"/>
      <c r="L126" s="35"/>
    </row>
    <row r="127" spans="2:12" x14ac:dyDescent="0.2">
      <c r="B127" s="136"/>
      <c r="J127" s="138"/>
    </row>
    <row r="128" spans="2:12" x14ac:dyDescent="0.2">
      <c r="B128" s="240" t="s">
        <v>254</v>
      </c>
      <c r="E128" s="32"/>
      <c r="F128" s="31">
        <f>E130</f>
        <v>1250</v>
      </c>
      <c r="G128" s="31">
        <f>F130</f>
        <v>1111.1111111111111</v>
      </c>
      <c r="H128" s="31">
        <f>G130</f>
        <v>972.22222222222217</v>
      </c>
      <c r="I128" s="31">
        <f>H130</f>
        <v>833.33333333333326</v>
      </c>
      <c r="J128" s="140">
        <f>I130</f>
        <v>694.44444444444434</v>
      </c>
      <c r="K128" s="36"/>
    </row>
    <row r="129" spans="2:12" ht="16" thickBot="1" x14ac:dyDescent="0.25">
      <c r="B129" s="136" t="s">
        <v>255</v>
      </c>
      <c r="E129" s="114"/>
      <c r="F129" s="114">
        <f>$F$128/9</f>
        <v>138.88888888888889</v>
      </c>
      <c r="G129" s="114">
        <f>$F$128/9</f>
        <v>138.88888888888889</v>
      </c>
      <c r="H129" s="114">
        <f>$F$128/9</f>
        <v>138.88888888888889</v>
      </c>
      <c r="I129" s="114">
        <f>$F$128/9</f>
        <v>138.88888888888889</v>
      </c>
      <c r="J129" s="151">
        <f>$F$128/9</f>
        <v>138.88888888888889</v>
      </c>
      <c r="K129" s="35"/>
    </row>
    <row r="130" spans="2:12" x14ac:dyDescent="0.2">
      <c r="B130" s="137" t="s">
        <v>256</v>
      </c>
      <c r="E130" s="139">
        <v>1250</v>
      </c>
      <c r="F130" s="32">
        <f>F128-F129</f>
        <v>1111.1111111111111</v>
      </c>
      <c r="G130" s="32">
        <f>G128-G129</f>
        <v>972.22222222222217</v>
      </c>
      <c r="H130" s="32">
        <f>H128-H129</f>
        <v>833.33333333333326</v>
      </c>
      <c r="I130" s="32">
        <f>I128-I129</f>
        <v>694.44444444444434</v>
      </c>
      <c r="J130" s="141">
        <f>J128-J129</f>
        <v>555.55555555555543</v>
      </c>
      <c r="K130" s="35"/>
    </row>
    <row r="131" spans="2:12" x14ac:dyDescent="0.2">
      <c r="B131" s="136"/>
      <c r="J131" s="138"/>
    </row>
    <row r="132" spans="2:12" x14ac:dyDescent="0.2">
      <c r="B132" s="236" t="s">
        <v>215</v>
      </c>
      <c r="E132" s="34">
        <v>5.2499999999999998E-2</v>
      </c>
      <c r="F132" s="34">
        <v>5.2499999999999998E-2</v>
      </c>
      <c r="G132" s="34">
        <v>5.2499999999999998E-2</v>
      </c>
      <c r="H132" s="34">
        <v>5.2499999999999998E-2</v>
      </c>
      <c r="I132" s="34">
        <v>5.2499999999999998E-2</v>
      </c>
      <c r="J132" s="237">
        <v>5.2499999999999998E-2</v>
      </c>
      <c r="K132" s="34"/>
    </row>
    <row r="133" spans="2:12" ht="16" thickBot="1" x14ac:dyDescent="0.25">
      <c r="B133" s="236" t="s">
        <v>216</v>
      </c>
      <c r="E133" s="114"/>
      <c r="F133" s="114">
        <f>AVERAGE(E130:F130)</f>
        <v>1180.5555555555557</v>
      </c>
      <c r="G133" s="114">
        <f>AVERAGE(F130:G130)</f>
        <v>1041.6666666666665</v>
      </c>
      <c r="H133" s="114">
        <f>AVERAGE(G130:H130)</f>
        <v>902.77777777777771</v>
      </c>
      <c r="I133" s="114">
        <f>AVERAGE(H130:I130)</f>
        <v>763.8888888888888</v>
      </c>
      <c r="J133" s="151">
        <f>AVERAGE(I130:J130)</f>
        <v>624.99999999999989</v>
      </c>
      <c r="K133" s="35"/>
      <c r="L133" s="35"/>
    </row>
    <row r="134" spans="2:12" x14ac:dyDescent="0.2">
      <c r="B134" s="236" t="s">
        <v>217</v>
      </c>
      <c r="F134" s="35">
        <f>F133*E132</f>
        <v>61.979166666666671</v>
      </c>
      <c r="G134" s="35">
        <f>G133*F132</f>
        <v>54.687499999999993</v>
      </c>
      <c r="H134" s="35">
        <f>H133*G132</f>
        <v>47.395833333333329</v>
      </c>
      <c r="I134" s="35">
        <f>I133*H132</f>
        <v>40.104166666666657</v>
      </c>
      <c r="J134" s="239">
        <f>J133*I132</f>
        <v>32.812499999999993</v>
      </c>
      <c r="K134" s="35"/>
      <c r="L134" s="35"/>
    </row>
    <row r="135" spans="2:12" x14ac:dyDescent="0.2">
      <c r="B135" s="136"/>
      <c r="J135" s="138"/>
    </row>
    <row r="136" spans="2:12" x14ac:dyDescent="0.2">
      <c r="B136" s="240" t="s">
        <v>257</v>
      </c>
      <c r="E136" s="32"/>
      <c r="F136" s="31">
        <f>E138</f>
        <v>1488</v>
      </c>
      <c r="G136" s="31">
        <f>F138</f>
        <v>1352.7272727272727</v>
      </c>
      <c r="H136" s="31">
        <f>G138</f>
        <v>1217.4545454545455</v>
      </c>
      <c r="I136" s="31">
        <f>H138</f>
        <v>1082.1818181818182</v>
      </c>
      <c r="J136" s="140">
        <f>I138</f>
        <v>946.90909090909099</v>
      </c>
      <c r="K136" s="36"/>
    </row>
    <row r="137" spans="2:12" ht="16" thickBot="1" x14ac:dyDescent="0.25">
      <c r="B137" s="136" t="s">
        <v>258</v>
      </c>
      <c r="E137" s="114"/>
      <c r="F137" s="114">
        <f>$F$136/11</f>
        <v>135.27272727272728</v>
      </c>
      <c r="G137" s="114">
        <f>$F$136/11</f>
        <v>135.27272727272728</v>
      </c>
      <c r="H137" s="114">
        <f>$F$136/11</f>
        <v>135.27272727272728</v>
      </c>
      <c r="I137" s="114">
        <f>$F$136/11</f>
        <v>135.27272727272728</v>
      </c>
      <c r="J137" s="151">
        <f>$F$136/11</f>
        <v>135.27272727272728</v>
      </c>
      <c r="K137" s="35"/>
    </row>
    <row r="138" spans="2:12" x14ac:dyDescent="0.2">
      <c r="B138" s="137" t="s">
        <v>259</v>
      </c>
      <c r="E138" s="139">
        <v>1488</v>
      </c>
      <c r="F138" s="32">
        <f>F136-F137</f>
        <v>1352.7272727272727</v>
      </c>
      <c r="G138" s="32">
        <f>G136-G137</f>
        <v>1217.4545454545455</v>
      </c>
      <c r="H138" s="32">
        <f>H136-H137</f>
        <v>1082.1818181818182</v>
      </c>
      <c r="I138" s="32">
        <f>I136-I137</f>
        <v>946.90909090909099</v>
      </c>
      <c r="J138" s="141">
        <f>J136-J137</f>
        <v>811.63636363636374</v>
      </c>
      <c r="K138" s="35"/>
    </row>
    <row r="139" spans="2:12" x14ac:dyDescent="0.2">
      <c r="B139" s="136"/>
      <c r="J139" s="138"/>
    </row>
    <row r="140" spans="2:12" x14ac:dyDescent="0.2">
      <c r="B140" s="236" t="s">
        <v>215</v>
      </c>
      <c r="E140" s="34">
        <v>5.2499999999999998E-2</v>
      </c>
      <c r="F140" s="34">
        <v>5.2499999999999998E-2</v>
      </c>
      <c r="G140" s="34">
        <v>5.2499999999999998E-2</v>
      </c>
      <c r="H140" s="34">
        <v>5.2499999999999998E-2</v>
      </c>
      <c r="I140" s="34">
        <v>5.2499999999999998E-2</v>
      </c>
      <c r="J140" s="237">
        <v>5.2499999999999998E-2</v>
      </c>
      <c r="K140" s="34"/>
    </row>
    <row r="141" spans="2:12" ht="16" thickBot="1" x14ac:dyDescent="0.25">
      <c r="B141" s="236" t="s">
        <v>216</v>
      </c>
      <c r="E141" s="114"/>
      <c r="F141" s="114">
        <f>AVERAGE(E138:F138)</f>
        <v>1420.3636363636365</v>
      </c>
      <c r="G141" s="114">
        <f>AVERAGE(F138:G138)</f>
        <v>1285.090909090909</v>
      </c>
      <c r="H141" s="114">
        <f>AVERAGE(G138:H138)</f>
        <v>1149.818181818182</v>
      </c>
      <c r="I141" s="114">
        <f>AVERAGE(H138:I138)</f>
        <v>1014.5454545454546</v>
      </c>
      <c r="J141" s="151">
        <f>AVERAGE(I138:J138)</f>
        <v>879.27272727272737</v>
      </c>
      <c r="K141" s="35"/>
      <c r="L141" s="35"/>
    </row>
    <row r="142" spans="2:12" x14ac:dyDescent="0.2">
      <c r="B142" s="236" t="s">
        <v>217</v>
      </c>
      <c r="E142" s="32"/>
      <c r="F142" s="32">
        <f>F141*E140</f>
        <v>74.569090909090917</v>
      </c>
      <c r="G142" s="32">
        <f>G141*F140</f>
        <v>67.467272727272714</v>
      </c>
      <c r="H142" s="32">
        <f>H141*G140</f>
        <v>60.365454545454554</v>
      </c>
      <c r="I142" s="32">
        <f>I141*H140</f>
        <v>53.263636363636365</v>
      </c>
      <c r="J142" s="141">
        <f>J141*I140</f>
        <v>46.161818181818184</v>
      </c>
      <c r="K142" s="35"/>
      <c r="L142" s="35"/>
    </row>
    <row r="143" spans="2:12" x14ac:dyDescent="0.2">
      <c r="B143" s="136"/>
      <c r="E143" s="32"/>
      <c r="F143" s="32"/>
      <c r="G143" s="32"/>
      <c r="H143" s="32"/>
      <c r="I143" s="32"/>
      <c r="J143" s="141"/>
    </row>
    <row r="144" spans="2:12" x14ac:dyDescent="0.2">
      <c r="B144" s="240" t="s">
        <v>260</v>
      </c>
      <c r="E144" s="32"/>
      <c r="F144" s="31">
        <f>E146</f>
        <v>190</v>
      </c>
      <c r="G144" s="31">
        <f>F146</f>
        <v>172.72727272727272</v>
      </c>
      <c r="H144" s="31">
        <f>G146</f>
        <v>155.45454545454544</v>
      </c>
      <c r="I144" s="31">
        <f>H146</f>
        <v>138.18181818181816</v>
      </c>
      <c r="J144" s="140">
        <f>I146</f>
        <v>120.90909090909088</v>
      </c>
      <c r="K144" s="36"/>
    </row>
    <row r="145" spans="2:12" ht="16" thickBot="1" x14ac:dyDescent="0.25">
      <c r="B145" s="136" t="s">
        <v>258</v>
      </c>
      <c r="E145" s="114"/>
      <c r="F145" s="114">
        <f>$F$144/11</f>
        <v>17.272727272727273</v>
      </c>
      <c r="G145" s="114">
        <f>$F$144/11</f>
        <v>17.272727272727273</v>
      </c>
      <c r="H145" s="114">
        <f>$F$144/11</f>
        <v>17.272727272727273</v>
      </c>
      <c r="I145" s="114">
        <f>$F$144/11</f>
        <v>17.272727272727273</v>
      </c>
      <c r="J145" s="151">
        <f>$F$144/11</f>
        <v>17.272727272727273</v>
      </c>
      <c r="K145" s="35"/>
    </row>
    <row r="146" spans="2:12" x14ac:dyDescent="0.2">
      <c r="B146" s="137" t="s">
        <v>261</v>
      </c>
      <c r="E146" s="139">
        <v>190</v>
      </c>
      <c r="F146" s="32">
        <f>F144-F145</f>
        <v>172.72727272727272</v>
      </c>
      <c r="G146" s="32">
        <f>G144-G145</f>
        <v>155.45454545454544</v>
      </c>
      <c r="H146" s="32">
        <f>H144-H145</f>
        <v>138.18181818181816</v>
      </c>
      <c r="I146" s="32">
        <f>I144-I145</f>
        <v>120.90909090909088</v>
      </c>
      <c r="J146" s="141">
        <f>J144-J145</f>
        <v>103.6363636363636</v>
      </c>
      <c r="K146" s="35"/>
    </row>
    <row r="147" spans="2:12" x14ac:dyDescent="0.2">
      <c r="B147" s="136"/>
      <c r="J147" s="138"/>
    </row>
    <row r="148" spans="2:12" x14ac:dyDescent="0.2">
      <c r="B148" s="236" t="s">
        <v>215</v>
      </c>
      <c r="E148" s="34">
        <v>6.1499999999999999E-2</v>
      </c>
      <c r="F148" s="34">
        <v>6.1499999999999999E-2</v>
      </c>
      <c r="G148" s="34">
        <v>6.1499999999999999E-2</v>
      </c>
      <c r="H148" s="34">
        <v>6.1499999999999999E-2</v>
      </c>
      <c r="I148" s="34">
        <v>6.1499999999999999E-2</v>
      </c>
      <c r="J148" s="237">
        <v>6.1499999999999999E-2</v>
      </c>
      <c r="K148" s="34"/>
    </row>
    <row r="149" spans="2:12" ht="16" thickBot="1" x14ac:dyDescent="0.25">
      <c r="B149" s="236" t="s">
        <v>216</v>
      </c>
      <c r="E149" s="37"/>
      <c r="F149" s="37">
        <f>AVERAGE(E146:F146)</f>
        <v>181.36363636363637</v>
      </c>
      <c r="G149" s="37">
        <f>AVERAGE(F146:G146)</f>
        <v>164.09090909090907</v>
      </c>
      <c r="H149" s="37">
        <f>AVERAGE(G146:H146)</f>
        <v>146.81818181818181</v>
      </c>
      <c r="I149" s="37">
        <f>AVERAGE(H146:I146)</f>
        <v>129.5454545454545</v>
      </c>
      <c r="J149" s="238">
        <f>AVERAGE(I146:J146)</f>
        <v>112.27272727272724</v>
      </c>
      <c r="K149" s="35"/>
      <c r="L149" s="35"/>
    </row>
    <row r="150" spans="2:12" x14ac:dyDescent="0.2">
      <c r="B150" s="236" t="s">
        <v>217</v>
      </c>
      <c r="F150" s="35">
        <f>F149*E148</f>
        <v>11.153863636363637</v>
      </c>
      <c r="G150" s="35">
        <f>G149*F148</f>
        <v>10.091590909090908</v>
      </c>
      <c r="H150" s="35">
        <f>H149*G148</f>
        <v>9.0293181818181818</v>
      </c>
      <c r="I150" s="35">
        <f>I149*H148</f>
        <v>7.9670454545454517</v>
      </c>
      <c r="J150" s="239">
        <f>J149*I148</f>
        <v>6.9047727272727251</v>
      </c>
      <c r="K150" s="35"/>
      <c r="L150" s="35"/>
    </row>
    <row r="151" spans="2:12" x14ac:dyDescent="0.2">
      <c r="B151" s="136"/>
      <c r="J151" s="138"/>
    </row>
    <row r="152" spans="2:12" x14ac:dyDescent="0.2">
      <c r="B152" s="240" t="s">
        <v>262</v>
      </c>
      <c r="E152" s="32"/>
      <c r="F152" s="31">
        <f>E154</f>
        <v>2194</v>
      </c>
      <c r="G152" s="31">
        <f>F154</f>
        <v>2025.2307692307693</v>
      </c>
      <c r="H152" s="31">
        <f>G154</f>
        <v>1856.4615384615386</v>
      </c>
      <c r="I152" s="31">
        <f>H154</f>
        <v>1687.6923076923078</v>
      </c>
      <c r="J152" s="140">
        <f>I154</f>
        <v>1518.9230769230771</v>
      </c>
      <c r="K152" s="36"/>
    </row>
    <row r="153" spans="2:12" ht="16" thickBot="1" x14ac:dyDescent="0.25">
      <c r="B153" s="136" t="s">
        <v>263</v>
      </c>
      <c r="E153" s="114"/>
      <c r="F153" s="114">
        <f>$F$152/13</f>
        <v>168.76923076923077</v>
      </c>
      <c r="G153" s="114">
        <f>$F$152/13</f>
        <v>168.76923076923077</v>
      </c>
      <c r="H153" s="114">
        <f>$F$152/13</f>
        <v>168.76923076923077</v>
      </c>
      <c r="I153" s="114">
        <f>$F$152/13</f>
        <v>168.76923076923077</v>
      </c>
      <c r="J153" s="151">
        <f>$F$152/13</f>
        <v>168.76923076923077</v>
      </c>
      <c r="K153" s="35"/>
    </row>
    <row r="154" spans="2:12" x14ac:dyDescent="0.2">
      <c r="B154" s="137" t="s">
        <v>264</v>
      </c>
      <c r="E154" s="139">
        <v>2194</v>
      </c>
      <c r="F154" s="32">
        <f>F152-F153</f>
        <v>2025.2307692307693</v>
      </c>
      <c r="G154" s="32">
        <f>G152-G153</f>
        <v>1856.4615384615386</v>
      </c>
      <c r="H154" s="32">
        <f>H152-H153</f>
        <v>1687.6923076923078</v>
      </c>
      <c r="I154" s="32">
        <f>I152-I153</f>
        <v>1518.9230769230771</v>
      </c>
      <c r="J154" s="141">
        <f>J152-J153</f>
        <v>1350.1538461538464</v>
      </c>
      <c r="K154" s="35"/>
    </row>
    <row r="155" spans="2:12" x14ac:dyDescent="0.2">
      <c r="B155" s="136"/>
      <c r="J155" s="138"/>
    </row>
    <row r="156" spans="2:12" x14ac:dyDescent="0.2">
      <c r="B156" s="236" t="s">
        <v>215</v>
      </c>
      <c r="E156" s="34">
        <v>4.8000000000000001E-2</v>
      </c>
      <c r="F156" s="34">
        <v>4.8000000000000001E-2</v>
      </c>
      <c r="G156" s="34">
        <v>4.8000000000000001E-2</v>
      </c>
      <c r="H156" s="34">
        <v>4.8000000000000001E-2</v>
      </c>
      <c r="I156" s="34">
        <v>4.8000000000000001E-2</v>
      </c>
      <c r="J156" s="237">
        <v>4.8000000000000001E-2</v>
      </c>
      <c r="K156" s="34"/>
    </row>
    <row r="157" spans="2:12" ht="16" thickBot="1" x14ac:dyDescent="0.25">
      <c r="B157" s="236" t="s">
        <v>216</v>
      </c>
      <c r="E157" s="114"/>
      <c r="F157" s="114">
        <f>AVERAGE(E154:F154)</f>
        <v>2109.6153846153848</v>
      </c>
      <c r="G157" s="114">
        <f>AVERAGE(F154:G154)</f>
        <v>1940.8461538461538</v>
      </c>
      <c r="H157" s="114">
        <f>AVERAGE(G154:H154)</f>
        <v>1772.0769230769233</v>
      </c>
      <c r="I157" s="114">
        <f>AVERAGE(H154:I154)</f>
        <v>1603.3076923076924</v>
      </c>
      <c r="J157" s="151">
        <f>AVERAGE(I154:J154)</f>
        <v>1434.5384615384619</v>
      </c>
      <c r="K157" s="35"/>
      <c r="L157" s="35"/>
    </row>
    <row r="158" spans="2:12" x14ac:dyDescent="0.2">
      <c r="B158" s="236" t="s">
        <v>217</v>
      </c>
      <c r="E158" s="32"/>
      <c r="F158" s="32">
        <f>F157*E156</f>
        <v>101.26153846153846</v>
      </c>
      <c r="G158" s="32">
        <f>G157*F156</f>
        <v>93.160615384615383</v>
      </c>
      <c r="H158" s="32">
        <f>H157*G156</f>
        <v>85.059692307692316</v>
      </c>
      <c r="I158" s="32">
        <f>I157*H156</f>
        <v>76.958769230769235</v>
      </c>
      <c r="J158" s="141">
        <f>J157*I156</f>
        <v>68.857846153846168</v>
      </c>
      <c r="K158" s="35"/>
      <c r="L158" s="35"/>
    </row>
    <row r="159" spans="2:12" x14ac:dyDescent="0.2">
      <c r="B159" s="136"/>
      <c r="E159" s="32"/>
      <c r="F159" s="32"/>
      <c r="G159" s="32"/>
      <c r="H159" s="32"/>
      <c r="I159" s="32"/>
      <c r="J159" s="141"/>
    </row>
    <row r="160" spans="2:12" x14ac:dyDescent="0.2">
      <c r="B160" s="240" t="s">
        <v>265</v>
      </c>
      <c r="E160" s="32"/>
      <c r="F160" s="31">
        <f>E162</f>
        <v>748</v>
      </c>
      <c r="G160" s="31">
        <f>F162</f>
        <v>698.13333333333333</v>
      </c>
      <c r="H160" s="31">
        <f>G162</f>
        <v>648.26666666666665</v>
      </c>
      <c r="I160" s="31">
        <f>H162</f>
        <v>598.4</v>
      </c>
      <c r="J160" s="140">
        <f>I162</f>
        <v>548.5333333333333</v>
      </c>
      <c r="K160" s="36"/>
    </row>
    <row r="161" spans="2:12" ht="16" thickBot="1" x14ac:dyDescent="0.25">
      <c r="B161" s="136" t="s">
        <v>266</v>
      </c>
      <c r="E161" s="114"/>
      <c r="F161" s="114">
        <f>$F$160/15</f>
        <v>49.866666666666667</v>
      </c>
      <c r="G161" s="114">
        <f>$F$160/15</f>
        <v>49.866666666666667</v>
      </c>
      <c r="H161" s="114">
        <f>$F$160/15</f>
        <v>49.866666666666667</v>
      </c>
      <c r="I161" s="114">
        <f>$F$160/15</f>
        <v>49.866666666666667</v>
      </c>
      <c r="J161" s="151">
        <f>$F$160/15</f>
        <v>49.866666666666667</v>
      </c>
      <c r="K161" s="35"/>
    </row>
    <row r="162" spans="2:12" x14ac:dyDescent="0.2">
      <c r="B162" s="137" t="s">
        <v>267</v>
      </c>
      <c r="E162" s="139">
        <v>748</v>
      </c>
      <c r="F162" s="32">
        <f>F160-F161</f>
        <v>698.13333333333333</v>
      </c>
      <c r="G162" s="32">
        <f>G160-G161</f>
        <v>648.26666666666665</v>
      </c>
      <c r="H162" s="32">
        <f>H160-H161</f>
        <v>598.4</v>
      </c>
      <c r="I162" s="32">
        <f>I160-I161</f>
        <v>548.5333333333333</v>
      </c>
      <c r="J162" s="141">
        <f>J160-J161</f>
        <v>498.66666666666663</v>
      </c>
      <c r="K162" s="35"/>
    </row>
    <row r="163" spans="2:12" x14ac:dyDescent="0.2">
      <c r="B163" s="136"/>
      <c r="J163" s="138"/>
    </row>
    <row r="164" spans="2:12" x14ac:dyDescent="0.2">
      <c r="B164" s="236" t="s">
        <v>215</v>
      </c>
      <c r="E164" s="34">
        <v>3.2000000000000001E-2</v>
      </c>
      <c r="F164" s="34">
        <v>3.2000000000000001E-2</v>
      </c>
      <c r="G164" s="34">
        <v>3.2000000000000001E-2</v>
      </c>
      <c r="H164" s="34">
        <v>3.2000000000000001E-2</v>
      </c>
      <c r="I164" s="34">
        <v>3.2000000000000001E-2</v>
      </c>
      <c r="J164" s="237">
        <v>3.2000000000000001E-2</v>
      </c>
      <c r="K164" s="34"/>
    </row>
    <row r="165" spans="2:12" ht="16" thickBot="1" x14ac:dyDescent="0.25">
      <c r="B165" s="236" t="s">
        <v>216</v>
      </c>
      <c r="E165" s="37"/>
      <c r="F165" s="37">
        <f>AVERAGE(E162:F162)</f>
        <v>723.06666666666661</v>
      </c>
      <c r="G165" s="37">
        <f>AVERAGE(F162:G162)</f>
        <v>673.2</v>
      </c>
      <c r="H165" s="37">
        <f>AVERAGE(G162:H162)</f>
        <v>623.33333333333326</v>
      </c>
      <c r="I165" s="37">
        <f>AVERAGE(H162:I162)</f>
        <v>573.4666666666667</v>
      </c>
      <c r="J165" s="238">
        <f>AVERAGE(I162:J162)</f>
        <v>523.59999999999991</v>
      </c>
      <c r="K165" s="35"/>
      <c r="L165" s="35"/>
    </row>
    <row r="166" spans="2:12" x14ac:dyDescent="0.2">
      <c r="B166" s="236" t="s">
        <v>217</v>
      </c>
      <c r="F166" s="35">
        <f>F165*E164</f>
        <v>23.138133333333332</v>
      </c>
      <c r="G166" s="35">
        <f>G165*F164</f>
        <v>21.542400000000001</v>
      </c>
      <c r="H166" s="35">
        <f>H165*G164</f>
        <v>19.946666666666665</v>
      </c>
      <c r="I166" s="35">
        <f>I165*H164</f>
        <v>18.350933333333334</v>
      </c>
      <c r="J166" s="239">
        <f>J165*I164</f>
        <v>16.755199999999999</v>
      </c>
      <c r="K166" s="35"/>
      <c r="L166" s="35"/>
    </row>
    <row r="167" spans="2:12" x14ac:dyDescent="0.2">
      <c r="B167" s="136"/>
      <c r="J167" s="138"/>
    </row>
    <row r="168" spans="2:12" x14ac:dyDescent="0.2">
      <c r="B168" s="240" t="s">
        <v>268</v>
      </c>
      <c r="E168" s="35"/>
      <c r="F168" s="36">
        <f>E170</f>
        <v>119</v>
      </c>
      <c r="G168" s="36">
        <f>F170</f>
        <v>111.5625</v>
      </c>
      <c r="H168" s="36">
        <f>G170</f>
        <v>104.125</v>
      </c>
      <c r="I168" s="36">
        <f>H170</f>
        <v>96.6875</v>
      </c>
      <c r="J168" s="241">
        <f>I170</f>
        <v>89.25</v>
      </c>
      <c r="K168" s="36"/>
    </row>
    <row r="169" spans="2:12" ht="16" thickBot="1" x14ac:dyDescent="0.25">
      <c r="B169" s="136" t="s">
        <v>269</v>
      </c>
      <c r="E169" s="37"/>
      <c r="F169" s="37">
        <f>$F$168/16</f>
        <v>7.4375</v>
      </c>
      <c r="G169" s="37">
        <f>$F$168/16</f>
        <v>7.4375</v>
      </c>
      <c r="H169" s="37">
        <f>$F$168/16</f>
        <v>7.4375</v>
      </c>
      <c r="I169" s="37">
        <f>$F$168/16</f>
        <v>7.4375</v>
      </c>
      <c r="J169" s="238">
        <f>$F$168/16</f>
        <v>7.4375</v>
      </c>
      <c r="K169" s="35"/>
    </row>
    <row r="170" spans="2:12" x14ac:dyDescent="0.2">
      <c r="B170" s="137" t="s">
        <v>270</v>
      </c>
      <c r="E170" s="207">
        <v>119</v>
      </c>
      <c r="F170" s="35">
        <f>F168-F169</f>
        <v>111.5625</v>
      </c>
      <c r="G170" s="35">
        <f>G168-G169</f>
        <v>104.125</v>
      </c>
      <c r="H170" s="35">
        <f>H168-H169</f>
        <v>96.6875</v>
      </c>
      <c r="I170" s="35">
        <f>I168-I169</f>
        <v>89.25</v>
      </c>
      <c r="J170" s="239">
        <f>J168-J169</f>
        <v>81.8125</v>
      </c>
      <c r="K170" s="35"/>
    </row>
    <row r="171" spans="2:12" x14ac:dyDescent="0.2">
      <c r="B171" s="136"/>
      <c r="J171" s="138"/>
    </row>
    <row r="172" spans="2:12" x14ac:dyDescent="0.2">
      <c r="B172" s="236" t="s">
        <v>215</v>
      </c>
      <c r="E172" s="34">
        <v>5.8749999999999997E-2</v>
      </c>
      <c r="F172" s="34">
        <v>5.8749999999999997E-2</v>
      </c>
      <c r="G172" s="34">
        <v>5.8749999999999997E-2</v>
      </c>
      <c r="H172" s="34">
        <v>5.8749999999999997E-2</v>
      </c>
      <c r="I172" s="34">
        <v>5.8749999999999997E-2</v>
      </c>
      <c r="J172" s="237">
        <v>5.8749999999999997E-2</v>
      </c>
      <c r="K172" s="34"/>
    </row>
    <row r="173" spans="2:12" ht="16" thickBot="1" x14ac:dyDescent="0.25">
      <c r="B173" s="236" t="s">
        <v>216</v>
      </c>
      <c r="E173" s="37"/>
      <c r="F173" s="37">
        <f>AVERAGE(E170:F170)</f>
        <v>115.28125</v>
      </c>
      <c r="G173" s="37">
        <f>AVERAGE(F170:G170)</f>
        <v>107.84375</v>
      </c>
      <c r="H173" s="37">
        <f>AVERAGE(G170:H170)</f>
        <v>100.40625</v>
      </c>
      <c r="I173" s="37">
        <f>AVERAGE(H170:I170)</f>
        <v>92.96875</v>
      </c>
      <c r="J173" s="238">
        <f>AVERAGE(I170:J170)</f>
        <v>85.53125</v>
      </c>
      <c r="K173" s="35"/>
      <c r="L173" s="35"/>
    </row>
    <row r="174" spans="2:12" x14ac:dyDescent="0.2">
      <c r="B174" s="236" t="s">
        <v>217</v>
      </c>
      <c r="F174" s="35">
        <f>F173*E172</f>
        <v>6.7727734374999997</v>
      </c>
      <c r="G174" s="35">
        <f>G173*F172</f>
        <v>6.3358203124999992</v>
      </c>
      <c r="H174" s="35">
        <f>H173*G172</f>
        <v>5.8988671874999996</v>
      </c>
      <c r="I174" s="35">
        <f>I173*H172</f>
        <v>5.4619140625</v>
      </c>
      <c r="J174" s="239">
        <f>J173*I172</f>
        <v>5.0249609374999995</v>
      </c>
      <c r="K174" s="35"/>
      <c r="L174" s="35"/>
    </row>
    <row r="175" spans="2:12" x14ac:dyDescent="0.2">
      <c r="B175" s="136"/>
      <c r="J175" s="138"/>
    </row>
    <row r="176" spans="2:12" x14ac:dyDescent="0.2">
      <c r="B176" s="240" t="s">
        <v>271</v>
      </c>
      <c r="E176" s="35"/>
      <c r="F176" s="36">
        <f>E178</f>
        <v>484</v>
      </c>
      <c r="G176" s="36">
        <f>F178</f>
        <v>453.75</v>
      </c>
      <c r="H176" s="36">
        <f>G178</f>
        <v>423.5</v>
      </c>
      <c r="I176" s="36">
        <f>H178</f>
        <v>393.25</v>
      </c>
      <c r="J176" s="241">
        <f>I178</f>
        <v>363</v>
      </c>
      <c r="K176" s="36"/>
    </row>
    <row r="177" spans="2:12" ht="16" thickBot="1" x14ac:dyDescent="0.25">
      <c r="B177" s="136" t="s">
        <v>269</v>
      </c>
      <c r="E177" s="37"/>
      <c r="F177" s="37">
        <f>$F$176/16</f>
        <v>30.25</v>
      </c>
      <c r="G177" s="37">
        <f>$F$176/16</f>
        <v>30.25</v>
      </c>
      <c r="H177" s="37">
        <f>$F$176/16</f>
        <v>30.25</v>
      </c>
      <c r="I177" s="37">
        <f>$F$176/16</f>
        <v>30.25</v>
      </c>
      <c r="J177" s="238">
        <f>$F$176/16</f>
        <v>30.25</v>
      </c>
      <c r="K177" s="35"/>
    </row>
    <row r="178" spans="2:12" x14ac:dyDescent="0.2">
      <c r="B178" s="137" t="s">
        <v>272</v>
      </c>
      <c r="E178" s="207">
        <v>484</v>
      </c>
      <c r="F178" s="35">
        <f>F176-F177</f>
        <v>453.75</v>
      </c>
      <c r="G178" s="35">
        <f>G176-G177</f>
        <v>423.5</v>
      </c>
      <c r="H178" s="35">
        <f>H176-H177</f>
        <v>393.25</v>
      </c>
      <c r="I178" s="35">
        <f>I176-I177</f>
        <v>363</v>
      </c>
      <c r="J178" s="239">
        <f>J176-J177</f>
        <v>332.75</v>
      </c>
      <c r="K178" s="35"/>
    </row>
    <row r="179" spans="2:12" x14ac:dyDescent="0.2">
      <c r="B179" s="136"/>
      <c r="J179" s="138"/>
    </row>
    <row r="180" spans="2:12" x14ac:dyDescent="0.2">
      <c r="B180" s="236" t="s">
        <v>215</v>
      </c>
      <c r="E180" s="34">
        <v>6.1249999999999999E-2</v>
      </c>
      <c r="F180" s="34">
        <v>6.1249999999999999E-2</v>
      </c>
      <c r="G180" s="34">
        <v>6.1249999999999999E-2</v>
      </c>
      <c r="H180" s="34">
        <v>6.1249999999999999E-2</v>
      </c>
      <c r="I180" s="34">
        <v>6.1249999999999999E-2</v>
      </c>
      <c r="J180" s="237">
        <v>6.1249999999999999E-2</v>
      </c>
      <c r="K180" s="34"/>
    </row>
    <row r="181" spans="2:12" ht="16" thickBot="1" x14ac:dyDescent="0.25">
      <c r="B181" s="236" t="s">
        <v>216</v>
      </c>
      <c r="E181" s="37"/>
      <c r="F181" s="37">
        <f>AVERAGE(E178:F178)</f>
        <v>468.875</v>
      </c>
      <c r="G181" s="37">
        <f>AVERAGE(F178:G178)</f>
        <v>438.625</v>
      </c>
      <c r="H181" s="37">
        <f>AVERAGE(G178:H178)</f>
        <v>408.375</v>
      </c>
      <c r="I181" s="37">
        <f>AVERAGE(H178:I178)</f>
        <v>378.125</v>
      </c>
      <c r="J181" s="238">
        <f>AVERAGE(I178:J178)</f>
        <v>347.875</v>
      </c>
      <c r="K181" s="35"/>
      <c r="L181" s="35"/>
    </row>
    <row r="182" spans="2:12" x14ac:dyDescent="0.2">
      <c r="B182" s="236" t="s">
        <v>217</v>
      </c>
      <c r="F182" s="35">
        <f>F181*E180</f>
        <v>28.71859375</v>
      </c>
      <c r="G182" s="35">
        <f>G181*F180</f>
        <v>26.865781250000001</v>
      </c>
      <c r="H182" s="35">
        <f>H181*G180</f>
        <v>25.012968749999999</v>
      </c>
      <c r="I182" s="35">
        <f>I181*H180</f>
        <v>23.16015625</v>
      </c>
      <c r="J182" s="239">
        <f>J181*I180</f>
        <v>21.307343750000001</v>
      </c>
      <c r="K182" s="35"/>
      <c r="L182" s="35"/>
    </row>
    <row r="183" spans="2:12" x14ac:dyDescent="0.2">
      <c r="B183" s="136"/>
      <c r="J183" s="138"/>
    </row>
    <row r="184" spans="2:12" x14ac:dyDescent="0.2">
      <c r="B184" s="240" t="s">
        <v>273</v>
      </c>
      <c r="E184" s="35"/>
      <c r="F184" s="36">
        <f>E186</f>
        <v>315</v>
      </c>
      <c r="G184" s="36">
        <f>F186</f>
        <v>296.47058823529414</v>
      </c>
      <c r="H184" s="36">
        <f>G186</f>
        <v>277.94117647058829</v>
      </c>
      <c r="I184" s="36">
        <f>H186</f>
        <v>259.41176470588243</v>
      </c>
      <c r="J184" s="241">
        <f>I186</f>
        <v>240.88235294117655</v>
      </c>
      <c r="K184" s="36"/>
    </row>
    <row r="185" spans="2:12" ht="16" thickBot="1" x14ac:dyDescent="0.25">
      <c r="B185" s="136" t="s">
        <v>274</v>
      </c>
      <c r="E185" s="37"/>
      <c r="F185" s="37">
        <f>$F$184/17</f>
        <v>18.529411764705884</v>
      </c>
      <c r="G185" s="37">
        <f>$F$184/17</f>
        <v>18.529411764705884</v>
      </c>
      <c r="H185" s="37">
        <f>$F$184/17</f>
        <v>18.529411764705884</v>
      </c>
      <c r="I185" s="37">
        <f>$F$184/17</f>
        <v>18.529411764705884</v>
      </c>
      <c r="J185" s="238">
        <f>$F$184/17</f>
        <v>18.529411764705884</v>
      </c>
      <c r="K185" s="35"/>
    </row>
    <row r="186" spans="2:12" x14ac:dyDescent="0.2">
      <c r="B186" s="137" t="s">
        <v>275</v>
      </c>
      <c r="E186" s="207">
        <v>315</v>
      </c>
      <c r="F186" s="35">
        <f>F184-F185</f>
        <v>296.47058823529414</v>
      </c>
      <c r="G186" s="35">
        <f>G184-G185</f>
        <v>277.94117647058829</v>
      </c>
      <c r="H186" s="35">
        <f>H184-H185</f>
        <v>259.41176470588243</v>
      </c>
      <c r="I186" s="35">
        <f>I184-I185</f>
        <v>240.88235294117655</v>
      </c>
      <c r="J186" s="239">
        <f>J184-J185</f>
        <v>222.35294117647067</v>
      </c>
      <c r="K186" s="35"/>
    </row>
    <row r="187" spans="2:12" x14ac:dyDescent="0.2">
      <c r="B187" s="136"/>
      <c r="J187" s="138"/>
    </row>
    <row r="188" spans="2:12" x14ac:dyDescent="0.2">
      <c r="B188" s="236" t="s">
        <v>215</v>
      </c>
      <c r="E188" s="34">
        <v>5.3749999999999999E-2</v>
      </c>
      <c r="F188" s="34">
        <v>5.3749999999999999E-2</v>
      </c>
      <c r="G188" s="34">
        <v>5.3749999999999999E-2</v>
      </c>
      <c r="H188" s="34">
        <v>5.3749999999999999E-2</v>
      </c>
      <c r="I188" s="34">
        <v>5.3749999999999999E-2</v>
      </c>
      <c r="J188" s="237">
        <v>5.3749999999999999E-2</v>
      </c>
      <c r="K188" s="34"/>
    </row>
    <row r="189" spans="2:12" ht="16" thickBot="1" x14ac:dyDescent="0.25">
      <c r="B189" s="236" t="s">
        <v>216</v>
      </c>
      <c r="E189" s="37"/>
      <c r="F189" s="37">
        <f>AVERAGE(E186:F186)</f>
        <v>305.73529411764707</v>
      </c>
      <c r="G189" s="37">
        <f>AVERAGE(F186:G186)</f>
        <v>287.20588235294122</v>
      </c>
      <c r="H189" s="37">
        <f>AVERAGE(G186:H186)</f>
        <v>268.67647058823536</v>
      </c>
      <c r="I189" s="37">
        <f>AVERAGE(H186:I186)</f>
        <v>250.14705882352951</v>
      </c>
      <c r="J189" s="238">
        <f>AVERAGE(I186:J186)</f>
        <v>231.61764705882359</v>
      </c>
      <c r="K189" s="35"/>
      <c r="L189" s="35"/>
    </row>
    <row r="190" spans="2:12" x14ac:dyDescent="0.2">
      <c r="B190" s="236" t="s">
        <v>217</v>
      </c>
      <c r="F190" s="35">
        <f>F189*E188</f>
        <v>16.43327205882353</v>
      </c>
      <c r="G190" s="35">
        <f>G189*F188</f>
        <v>15.43731617647059</v>
      </c>
      <c r="H190" s="35">
        <f>H189*G188</f>
        <v>14.441360294117651</v>
      </c>
      <c r="I190" s="35">
        <f>I189*H188</f>
        <v>13.445404411764711</v>
      </c>
      <c r="J190" s="239">
        <f>J189*I188</f>
        <v>12.449448529411768</v>
      </c>
      <c r="K190" s="35"/>
      <c r="L190" s="35"/>
    </row>
    <row r="191" spans="2:12" x14ac:dyDescent="0.2">
      <c r="B191" s="136"/>
      <c r="J191" s="138"/>
    </row>
    <row r="192" spans="2:12" x14ac:dyDescent="0.2">
      <c r="B192" s="240" t="s">
        <v>276</v>
      </c>
      <c r="E192" s="32"/>
      <c r="F192" s="31">
        <f>E194</f>
        <v>1469</v>
      </c>
      <c r="G192" s="31">
        <f>F194</f>
        <v>1399.047619047619</v>
      </c>
      <c r="H192" s="31">
        <f>G194</f>
        <v>1329.0952380952381</v>
      </c>
      <c r="I192" s="31">
        <f>H194</f>
        <v>1259.1428571428571</v>
      </c>
      <c r="J192" s="140">
        <f>I194</f>
        <v>1189.1904761904761</v>
      </c>
      <c r="K192" s="36"/>
    </row>
    <row r="193" spans="2:12" ht="16" thickBot="1" x14ac:dyDescent="0.25">
      <c r="B193" s="136" t="s">
        <v>277</v>
      </c>
      <c r="E193" s="114"/>
      <c r="F193" s="114">
        <f>$F$192/21</f>
        <v>69.952380952380949</v>
      </c>
      <c r="G193" s="114">
        <f>$F$192/21</f>
        <v>69.952380952380949</v>
      </c>
      <c r="H193" s="114">
        <f>$F$192/21</f>
        <v>69.952380952380949</v>
      </c>
      <c r="I193" s="114">
        <f>$F$192/21</f>
        <v>69.952380952380949</v>
      </c>
      <c r="J193" s="151">
        <f>$F$192/21</f>
        <v>69.952380952380949</v>
      </c>
      <c r="K193" s="35"/>
    </row>
    <row r="194" spans="2:12" x14ac:dyDescent="0.2">
      <c r="B194" s="137" t="s">
        <v>278</v>
      </c>
      <c r="E194" s="139">
        <v>1469</v>
      </c>
      <c r="F194" s="32">
        <f>F192-F193</f>
        <v>1399.047619047619</v>
      </c>
      <c r="G194" s="32">
        <f>G192-G193</f>
        <v>1329.0952380952381</v>
      </c>
      <c r="H194" s="32">
        <f>H192-H193</f>
        <v>1259.1428571428571</v>
      </c>
      <c r="I194" s="32">
        <f>I192-I193</f>
        <v>1189.1904761904761</v>
      </c>
      <c r="J194" s="141">
        <f>J192-J193</f>
        <v>1119.2380952380952</v>
      </c>
      <c r="K194" s="35"/>
    </row>
    <row r="195" spans="2:12" x14ac:dyDescent="0.2">
      <c r="B195" s="136"/>
      <c r="J195" s="138"/>
    </row>
    <row r="196" spans="2:12" x14ac:dyDescent="0.2">
      <c r="B196" s="236" t="s">
        <v>215</v>
      </c>
      <c r="E196" s="34">
        <v>4.8000000000000001E-2</v>
      </c>
      <c r="F196" s="34">
        <v>4.8000000000000001E-2</v>
      </c>
      <c r="G196" s="34">
        <v>4.8000000000000001E-2</v>
      </c>
      <c r="H196" s="34">
        <v>4.8000000000000001E-2</v>
      </c>
      <c r="I196" s="34">
        <v>4.8000000000000001E-2</v>
      </c>
      <c r="J196" s="237">
        <v>4.8000000000000001E-2</v>
      </c>
      <c r="K196" s="34"/>
    </row>
    <row r="197" spans="2:12" ht="16" thickBot="1" x14ac:dyDescent="0.25">
      <c r="B197" s="236" t="s">
        <v>216</v>
      </c>
      <c r="E197" s="114"/>
      <c r="F197" s="114">
        <f>AVERAGE(E194:F194)</f>
        <v>1434.0238095238096</v>
      </c>
      <c r="G197" s="114">
        <f>AVERAGE(F194:G194)</f>
        <v>1364.0714285714284</v>
      </c>
      <c r="H197" s="114">
        <f>AVERAGE(G194:H194)</f>
        <v>1294.1190476190477</v>
      </c>
      <c r="I197" s="114">
        <f>AVERAGE(H194:I194)</f>
        <v>1224.1666666666665</v>
      </c>
      <c r="J197" s="151">
        <f>AVERAGE(I194:J194)</f>
        <v>1154.2142857142858</v>
      </c>
      <c r="K197" s="35"/>
      <c r="L197" s="35"/>
    </row>
    <row r="198" spans="2:12" x14ac:dyDescent="0.2">
      <c r="B198" s="236" t="s">
        <v>217</v>
      </c>
      <c r="E198" s="32"/>
      <c r="F198" s="32">
        <f>F197*E196</f>
        <v>68.83314285714286</v>
      </c>
      <c r="G198" s="32">
        <f>G197*F196</f>
        <v>65.475428571428566</v>
      </c>
      <c r="H198" s="32">
        <f>H197*G196</f>
        <v>62.117714285714293</v>
      </c>
      <c r="I198" s="32">
        <f>I197*H196</f>
        <v>58.759999999999991</v>
      </c>
      <c r="J198" s="141">
        <f>J197*I196</f>
        <v>55.402285714285718</v>
      </c>
      <c r="K198" s="35"/>
      <c r="L198" s="35"/>
    </row>
    <row r="199" spans="2:12" x14ac:dyDescent="0.2">
      <c r="B199" s="136"/>
      <c r="J199" s="138"/>
    </row>
    <row r="200" spans="2:12" x14ac:dyDescent="0.2">
      <c r="B200" s="240" t="s">
        <v>279</v>
      </c>
      <c r="E200" s="35"/>
      <c r="F200" s="36">
        <f>E202</f>
        <v>990</v>
      </c>
      <c r="G200" s="36">
        <f>F202</f>
        <v>945</v>
      </c>
      <c r="H200" s="36">
        <f>G202</f>
        <v>900</v>
      </c>
      <c r="I200" s="36">
        <f>H202</f>
        <v>855</v>
      </c>
      <c r="J200" s="241">
        <f>I202</f>
        <v>810</v>
      </c>
      <c r="K200" s="36"/>
    </row>
    <row r="201" spans="2:12" ht="16" thickBot="1" x14ac:dyDescent="0.25">
      <c r="B201" s="136" t="s">
        <v>280</v>
      </c>
      <c r="E201" s="37"/>
      <c r="F201" s="37">
        <f>$F$200/22</f>
        <v>45</v>
      </c>
      <c r="G201" s="37">
        <f>$F$200/22</f>
        <v>45</v>
      </c>
      <c r="H201" s="37">
        <f>$F$200/22</f>
        <v>45</v>
      </c>
      <c r="I201" s="37">
        <f>$F$200/22</f>
        <v>45</v>
      </c>
      <c r="J201" s="238">
        <f>$F$200/22</f>
        <v>45</v>
      </c>
      <c r="K201" s="35"/>
    </row>
    <row r="202" spans="2:12" x14ac:dyDescent="0.2">
      <c r="B202" s="137" t="s">
        <v>281</v>
      </c>
      <c r="E202" s="207">
        <v>990</v>
      </c>
      <c r="F202" s="35">
        <f>F200-F201</f>
        <v>945</v>
      </c>
      <c r="G202" s="35">
        <f>G200-G201</f>
        <v>900</v>
      </c>
      <c r="H202" s="35">
        <f>H200-H201</f>
        <v>855</v>
      </c>
      <c r="I202" s="35">
        <f>I200-I201</f>
        <v>810</v>
      </c>
      <c r="J202" s="239">
        <f>J200-J201</f>
        <v>765</v>
      </c>
      <c r="K202" s="35"/>
    </row>
    <row r="203" spans="2:12" x14ac:dyDescent="0.2">
      <c r="B203" s="136"/>
      <c r="J203" s="138"/>
    </row>
    <row r="204" spans="2:12" x14ac:dyDescent="0.2">
      <c r="B204" s="236" t="s">
        <v>215</v>
      </c>
      <c r="E204" s="34">
        <v>3.875E-2</v>
      </c>
      <c r="F204" s="34">
        <v>3.875E-2</v>
      </c>
      <c r="G204" s="34">
        <v>3.875E-2</v>
      </c>
      <c r="H204" s="34">
        <v>3.875E-2</v>
      </c>
      <c r="I204" s="34">
        <v>3.875E-2</v>
      </c>
      <c r="J204" s="237">
        <v>3.875E-2</v>
      </c>
      <c r="K204" s="34"/>
    </row>
    <row r="205" spans="2:12" ht="16" thickBot="1" x14ac:dyDescent="0.25">
      <c r="B205" s="236" t="s">
        <v>216</v>
      </c>
      <c r="E205" s="37"/>
      <c r="F205" s="37">
        <f>AVERAGE(E202:F202)</f>
        <v>967.5</v>
      </c>
      <c r="G205" s="37">
        <f>AVERAGE(F202:G202)</f>
        <v>922.5</v>
      </c>
      <c r="H205" s="37">
        <f>AVERAGE(G202:H202)</f>
        <v>877.5</v>
      </c>
      <c r="I205" s="37">
        <f>AVERAGE(H202:I202)</f>
        <v>832.5</v>
      </c>
      <c r="J205" s="238">
        <f>AVERAGE(I202:J202)</f>
        <v>787.5</v>
      </c>
      <c r="K205" s="35"/>
      <c r="L205" s="35"/>
    </row>
    <row r="206" spans="2:12" x14ac:dyDescent="0.2">
      <c r="B206" s="236" t="s">
        <v>217</v>
      </c>
      <c r="F206" s="35">
        <f>F205*E204</f>
        <v>37.490625000000001</v>
      </c>
      <c r="G206" s="35">
        <f>G205*F204</f>
        <v>35.746875000000003</v>
      </c>
      <c r="H206" s="35">
        <f>H205*G204</f>
        <v>34.003124999999997</v>
      </c>
      <c r="I206" s="35">
        <f>I205*H204</f>
        <v>32.259374999999999</v>
      </c>
      <c r="J206" s="239">
        <f>J205*I204</f>
        <v>30.515625</v>
      </c>
      <c r="K206" s="35"/>
      <c r="L206" s="35"/>
    </row>
    <row r="207" spans="2:12" x14ac:dyDescent="0.2">
      <c r="B207" s="136"/>
      <c r="J207" s="138"/>
    </row>
    <row r="208" spans="2:12" x14ac:dyDescent="0.2">
      <c r="B208" s="240" t="s">
        <v>282</v>
      </c>
      <c r="E208" s="32"/>
      <c r="F208" s="31">
        <f>E210</f>
        <v>2972</v>
      </c>
      <c r="G208" s="31">
        <f>F210</f>
        <v>2842.782608695652</v>
      </c>
      <c r="H208" s="31">
        <f>G210</f>
        <v>2713.565217391304</v>
      </c>
      <c r="I208" s="31">
        <f>H210</f>
        <v>2584.347826086956</v>
      </c>
      <c r="J208" s="140">
        <f>I210</f>
        <v>2455.1304347826081</v>
      </c>
      <c r="K208" s="36"/>
    </row>
    <row r="209" spans="2:12" ht="16" thickBot="1" x14ac:dyDescent="0.25">
      <c r="B209" s="136" t="s">
        <v>283</v>
      </c>
      <c r="E209" s="114"/>
      <c r="F209" s="114">
        <f>$F$208/23</f>
        <v>129.21739130434781</v>
      </c>
      <c r="G209" s="114">
        <f>$F$208/23</f>
        <v>129.21739130434781</v>
      </c>
      <c r="H209" s="114">
        <f>$F$208/23</f>
        <v>129.21739130434781</v>
      </c>
      <c r="I209" s="114">
        <f>$F$208/23</f>
        <v>129.21739130434781</v>
      </c>
      <c r="J209" s="151">
        <f>$F$208/23</f>
        <v>129.21739130434781</v>
      </c>
      <c r="K209" s="35"/>
    </row>
    <row r="210" spans="2:12" x14ac:dyDescent="0.2">
      <c r="B210" s="137" t="s">
        <v>284</v>
      </c>
      <c r="E210" s="139">
        <v>2972</v>
      </c>
      <c r="F210" s="32">
        <f>F208-F209</f>
        <v>2842.782608695652</v>
      </c>
      <c r="G210" s="32">
        <f>G208-G209</f>
        <v>2713.565217391304</v>
      </c>
      <c r="H210" s="32">
        <f>H208-H209</f>
        <v>2584.347826086956</v>
      </c>
      <c r="I210" s="32">
        <f>I208-I209</f>
        <v>2455.1304347826081</v>
      </c>
      <c r="J210" s="141">
        <f>J208-J209</f>
        <v>2325.9130434782601</v>
      </c>
      <c r="K210" s="35"/>
    </row>
    <row r="211" spans="2:12" x14ac:dyDescent="0.2">
      <c r="B211" s="136"/>
      <c r="J211" s="138"/>
    </row>
    <row r="212" spans="2:12" x14ac:dyDescent="0.2">
      <c r="B212" s="236" t="s">
        <v>215</v>
      </c>
      <c r="E212" s="34">
        <v>4.9000000000000002E-2</v>
      </c>
      <c r="F212" s="34">
        <v>4.9000000000000002E-2</v>
      </c>
      <c r="G212" s="34">
        <v>4.9000000000000002E-2</v>
      </c>
      <c r="H212" s="34">
        <v>4.9000000000000002E-2</v>
      </c>
      <c r="I212" s="34">
        <v>4.9000000000000002E-2</v>
      </c>
      <c r="J212" s="237">
        <v>4.9000000000000002E-2</v>
      </c>
      <c r="K212" s="34"/>
    </row>
    <row r="213" spans="2:12" ht="16" thickBot="1" x14ac:dyDescent="0.25">
      <c r="B213" s="236" t="s">
        <v>216</v>
      </c>
      <c r="E213" s="114"/>
      <c r="F213" s="114">
        <f>AVERAGE(E210:F210)</f>
        <v>2907.391304347826</v>
      </c>
      <c r="G213" s="114">
        <f>AVERAGE(F210:G210)</f>
        <v>2778.173913043478</v>
      </c>
      <c r="H213" s="114">
        <f>AVERAGE(G210:H210)</f>
        <v>2648.95652173913</v>
      </c>
      <c r="I213" s="114">
        <f>AVERAGE(H210:I210)</f>
        <v>2519.7391304347821</v>
      </c>
      <c r="J213" s="151">
        <f>AVERAGE(I210:J210)</f>
        <v>2390.5217391304341</v>
      </c>
      <c r="K213" s="35"/>
      <c r="L213" s="35"/>
    </row>
    <row r="214" spans="2:12" x14ac:dyDescent="0.2">
      <c r="B214" s="236" t="s">
        <v>217</v>
      </c>
      <c r="E214" s="32"/>
      <c r="F214" s="32">
        <f>F213*E212</f>
        <v>142.46217391304347</v>
      </c>
      <c r="G214" s="32">
        <f>G213*F212</f>
        <v>136.13052173913042</v>
      </c>
      <c r="H214" s="32">
        <f>H213*G212</f>
        <v>129.79886956521739</v>
      </c>
      <c r="I214" s="32">
        <f>I213*H212</f>
        <v>123.46721739130433</v>
      </c>
      <c r="J214" s="141">
        <f>J213*I212</f>
        <v>117.13556521739127</v>
      </c>
      <c r="K214" s="35"/>
      <c r="L214" s="35"/>
    </row>
    <row r="215" spans="2:12" x14ac:dyDescent="0.2">
      <c r="B215" s="136"/>
      <c r="J215" s="138"/>
    </row>
    <row r="216" spans="2:12" x14ac:dyDescent="0.2">
      <c r="B216" s="240" t="s">
        <v>285</v>
      </c>
      <c r="E216" s="32"/>
      <c r="F216" s="31">
        <f>E218</f>
        <v>1172</v>
      </c>
      <c r="G216" s="31">
        <f>F218</f>
        <v>1125.1199999999999</v>
      </c>
      <c r="H216" s="31">
        <f>G218</f>
        <v>1078.2399999999998</v>
      </c>
      <c r="I216" s="31">
        <f>H218</f>
        <v>1031.3599999999997</v>
      </c>
      <c r="J216" s="140">
        <f>I218</f>
        <v>984.47999999999968</v>
      </c>
      <c r="K216" s="36"/>
    </row>
    <row r="217" spans="2:12" ht="16" thickBot="1" x14ac:dyDescent="0.25">
      <c r="B217" s="136" t="s">
        <v>286</v>
      </c>
      <c r="E217" s="114"/>
      <c r="F217" s="114">
        <f>$F$216/25</f>
        <v>46.88</v>
      </c>
      <c r="G217" s="114">
        <f>$F$216/25</f>
        <v>46.88</v>
      </c>
      <c r="H217" s="114">
        <f>$F$216/25</f>
        <v>46.88</v>
      </c>
      <c r="I217" s="114">
        <f>$F$216/25</f>
        <v>46.88</v>
      </c>
      <c r="J217" s="151">
        <f>$F$216/25</f>
        <v>46.88</v>
      </c>
      <c r="K217" s="35"/>
    </row>
    <row r="218" spans="2:12" x14ac:dyDescent="0.2">
      <c r="B218" s="137" t="s">
        <v>287</v>
      </c>
      <c r="E218" s="139">
        <v>1172</v>
      </c>
      <c r="F218" s="32">
        <f>F216-F217</f>
        <v>1125.1199999999999</v>
      </c>
      <c r="G218" s="32">
        <f>G216-G217</f>
        <v>1078.2399999999998</v>
      </c>
      <c r="H218" s="32">
        <f>H216-H217</f>
        <v>1031.3599999999997</v>
      </c>
      <c r="I218" s="32">
        <f>I216-I217</f>
        <v>984.47999999999968</v>
      </c>
      <c r="J218" s="141">
        <f>J216-J217</f>
        <v>937.59999999999968</v>
      </c>
      <c r="K218" s="35"/>
    </row>
    <row r="219" spans="2:12" x14ac:dyDescent="0.2">
      <c r="B219" s="136"/>
      <c r="J219" s="138"/>
    </row>
    <row r="220" spans="2:12" x14ac:dyDescent="0.2">
      <c r="B220" s="236" t="s">
        <v>215</v>
      </c>
      <c r="E220" s="34">
        <v>3.4000000000000002E-2</v>
      </c>
      <c r="F220" s="34">
        <v>3.4000000000000002E-2</v>
      </c>
      <c r="G220" s="34">
        <v>3.4000000000000002E-2</v>
      </c>
      <c r="H220" s="34">
        <v>3.4000000000000002E-2</v>
      </c>
      <c r="I220" s="34">
        <v>3.4000000000000002E-2</v>
      </c>
      <c r="J220" s="237">
        <v>3.4000000000000002E-2</v>
      </c>
      <c r="K220" s="34"/>
    </row>
    <row r="221" spans="2:12" ht="16" thickBot="1" x14ac:dyDescent="0.25">
      <c r="B221" s="236" t="s">
        <v>216</v>
      </c>
      <c r="E221" s="114"/>
      <c r="F221" s="114">
        <f>AVERAGE(E218:F218)</f>
        <v>1148.56</v>
      </c>
      <c r="G221" s="114">
        <f>AVERAGE(F218:G218)</f>
        <v>1101.6799999999998</v>
      </c>
      <c r="H221" s="114">
        <f>AVERAGE(G218:H218)</f>
        <v>1054.7999999999997</v>
      </c>
      <c r="I221" s="114">
        <f>AVERAGE(H218:I218)</f>
        <v>1007.9199999999996</v>
      </c>
      <c r="J221" s="151">
        <f>AVERAGE(I218:J218)</f>
        <v>961.03999999999974</v>
      </c>
      <c r="K221" s="35"/>
      <c r="L221" s="35"/>
    </row>
    <row r="222" spans="2:12" x14ac:dyDescent="0.2">
      <c r="B222" s="236" t="s">
        <v>217</v>
      </c>
      <c r="E222" s="32"/>
      <c r="F222" s="32">
        <f>F221*E220</f>
        <v>39.05104</v>
      </c>
      <c r="G222" s="32">
        <f>G221*F220</f>
        <v>37.457119999999996</v>
      </c>
      <c r="H222" s="32">
        <f>H221*G220</f>
        <v>35.863199999999992</v>
      </c>
      <c r="I222" s="32">
        <f>I221*H220</f>
        <v>34.269279999999988</v>
      </c>
      <c r="J222" s="141">
        <f>J221*I220</f>
        <v>32.675359999999991</v>
      </c>
      <c r="K222" s="35"/>
      <c r="L222" s="35"/>
    </row>
    <row r="223" spans="2:12" x14ac:dyDescent="0.2">
      <c r="B223" s="136"/>
      <c r="J223" s="138"/>
    </row>
    <row r="224" spans="2:12" x14ac:dyDescent="0.2">
      <c r="B224" s="240" t="s">
        <v>288</v>
      </c>
      <c r="E224" s="32"/>
      <c r="F224" s="31">
        <f>E226</f>
        <v>1410</v>
      </c>
      <c r="G224" s="31">
        <f>F226</f>
        <v>1355.7692307692307</v>
      </c>
      <c r="H224" s="31">
        <f>G226</f>
        <v>1301.5384615384614</v>
      </c>
      <c r="I224" s="31">
        <f>H226</f>
        <v>1247.3076923076922</v>
      </c>
      <c r="J224" s="140">
        <f>I226</f>
        <v>1193.0769230769229</v>
      </c>
      <c r="K224" s="36"/>
    </row>
    <row r="225" spans="2:12" ht="16" thickBot="1" x14ac:dyDescent="0.25">
      <c r="B225" s="136" t="s">
        <v>289</v>
      </c>
      <c r="E225" s="114"/>
      <c r="F225" s="114">
        <f>$F$224/26</f>
        <v>54.230769230769234</v>
      </c>
      <c r="G225" s="114">
        <f>$F$224/26</f>
        <v>54.230769230769234</v>
      </c>
      <c r="H225" s="114">
        <f>$F$224/26</f>
        <v>54.230769230769234</v>
      </c>
      <c r="I225" s="114">
        <f>$F$224/26</f>
        <v>54.230769230769234</v>
      </c>
      <c r="J225" s="151">
        <f>$F$224/26</f>
        <v>54.230769230769234</v>
      </c>
      <c r="K225" s="35"/>
    </row>
    <row r="226" spans="2:12" x14ac:dyDescent="0.2">
      <c r="B226" s="137" t="s">
        <v>290</v>
      </c>
      <c r="E226" s="139">
        <v>1410</v>
      </c>
      <c r="F226" s="32">
        <f>F224-F225</f>
        <v>1355.7692307692307</v>
      </c>
      <c r="G226" s="32">
        <f>G224-G225</f>
        <v>1301.5384615384614</v>
      </c>
      <c r="H226" s="32">
        <f>H224-H225</f>
        <v>1247.3076923076922</v>
      </c>
      <c r="I226" s="32">
        <f>I224-I225</f>
        <v>1193.0769230769229</v>
      </c>
      <c r="J226" s="141">
        <f>J224-J225</f>
        <v>1138.8461538461536</v>
      </c>
      <c r="K226" s="35"/>
    </row>
    <row r="227" spans="2:12" x14ac:dyDescent="0.2">
      <c r="B227" s="136"/>
      <c r="J227" s="138"/>
    </row>
    <row r="228" spans="2:12" x14ac:dyDescent="0.2">
      <c r="B228" s="236" t="s">
        <v>215</v>
      </c>
      <c r="E228" s="34">
        <v>3.4000000000000002E-2</v>
      </c>
      <c r="F228" s="34">
        <v>3.4000000000000002E-2</v>
      </c>
      <c r="G228" s="34">
        <v>3.4000000000000002E-2</v>
      </c>
      <c r="H228" s="34">
        <v>3.4000000000000002E-2</v>
      </c>
      <c r="I228" s="34">
        <v>3.4000000000000002E-2</v>
      </c>
      <c r="J228" s="237">
        <v>3.4000000000000002E-2</v>
      </c>
      <c r="K228" s="34"/>
    </row>
    <row r="229" spans="2:12" ht="16" thickBot="1" x14ac:dyDescent="0.25">
      <c r="B229" s="236" t="s">
        <v>216</v>
      </c>
      <c r="E229" s="114"/>
      <c r="F229" s="114">
        <f>AVERAGE(E226:F226)</f>
        <v>1382.8846153846152</v>
      </c>
      <c r="G229" s="114">
        <f>AVERAGE(F226:G226)</f>
        <v>1328.6538461538462</v>
      </c>
      <c r="H229" s="114">
        <f>AVERAGE(G226:H226)</f>
        <v>1274.4230769230767</v>
      </c>
      <c r="I229" s="114">
        <f>AVERAGE(H226:I226)</f>
        <v>1220.1923076923076</v>
      </c>
      <c r="J229" s="151">
        <f>AVERAGE(I226:J226)</f>
        <v>1165.9615384615381</v>
      </c>
      <c r="K229" s="35"/>
      <c r="L229" s="35"/>
    </row>
    <row r="230" spans="2:12" x14ac:dyDescent="0.2">
      <c r="B230" s="236" t="s">
        <v>217</v>
      </c>
      <c r="E230" s="32"/>
      <c r="F230" s="32">
        <f>F229*E228</f>
        <v>47.018076923076919</v>
      </c>
      <c r="G230" s="32">
        <f>G229*F228</f>
        <v>45.174230769230775</v>
      </c>
      <c r="H230" s="32">
        <f>H229*G228</f>
        <v>43.33038461538461</v>
      </c>
      <c r="I230" s="32">
        <f>I229*H228</f>
        <v>41.486538461538466</v>
      </c>
      <c r="J230" s="141">
        <f>J229*I228</f>
        <v>39.6426923076923</v>
      </c>
      <c r="K230" s="35"/>
      <c r="L230" s="35"/>
    </row>
    <row r="231" spans="2:12" x14ac:dyDescent="0.2">
      <c r="B231" s="136"/>
      <c r="J231" s="138"/>
    </row>
    <row r="232" spans="2:12" x14ac:dyDescent="0.2">
      <c r="B232" s="240" t="s">
        <v>291</v>
      </c>
      <c r="E232" s="32"/>
      <c r="F232" s="31">
        <f>E234</f>
        <v>1486</v>
      </c>
      <c r="G232" s="31">
        <f>F234</f>
        <v>1434.7586206896551</v>
      </c>
      <c r="H232" s="31">
        <f>G234</f>
        <v>1383.5172413793102</v>
      </c>
      <c r="I232" s="31">
        <f>H234</f>
        <v>1332.2758620689654</v>
      </c>
      <c r="J232" s="140">
        <f>I234</f>
        <v>1281.0344827586205</v>
      </c>
      <c r="K232" s="36"/>
    </row>
    <row r="233" spans="2:12" ht="16" thickBot="1" x14ac:dyDescent="0.25">
      <c r="B233" s="136" t="s">
        <v>292</v>
      </c>
      <c r="E233" s="114"/>
      <c r="F233" s="114">
        <f>$F$232/29</f>
        <v>51.241379310344826</v>
      </c>
      <c r="G233" s="114">
        <f>$F$232/29</f>
        <v>51.241379310344826</v>
      </c>
      <c r="H233" s="114">
        <f>$F$232/29</f>
        <v>51.241379310344826</v>
      </c>
      <c r="I233" s="114">
        <f>$F$232/29</f>
        <v>51.241379310344826</v>
      </c>
      <c r="J233" s="151">
        <f>$F$232/29</f>
        <v>51.241379310344826</v>
      </c>
      <c r="K233" s="35"/>
    </row>
    <row r="234" spans="2:12" x14ac:dyDescent="0.2">
      <c r="B234" s="137" t="s">
        <v>293</v>
      </c>
      <c r="E234" s="139">
        <v>1486</v>
      </c>
      <c r="F234" s="32">
        <f>F232-F233</f>
        <v>1434.7586206896551</v>
      </c>
      <c r="G234" s="32">
        <f>G232-G233</f>
        <v>1383.5172413793102</v>
      </c>
      <c r="H234" s="32">
        <f>H232-H233</f>
        <v>1332.2758620689654</v>
      </c>
      <c r="I234" s="32">
        <f>I232-I233</f>
        <v>1281.0344827586205</v>
      </c>
      <c r="J234" s="141">
        <f>J232-J233</f>
        <v>1229.7931034482756</v>
      </c>
      <c r="K234" s="35"/>
    </row>
    <row r="235" spans="2:12" x14ac:dyDescent="0.2">
      <c r="B235" s="136"/>
      <c r="J235" s="138"/>
    </row>
    <row r="236" spans="2:12" x14ac:dyDescent="0.2">
      <c r="B236" s="236" t="s">
        <v>215</v>
      </c>
      <c r="E236" s="34">
        <v>5.6000000000000001E-2</v>
      </c>
      <c r="F236" s="34">
        <v>5.6000000000000001E-2</v>
      </c>
      <c r="G236" s="34">
        <v>5.6000000000000001E-2</v>
      </c>
      <c r="H236" s="34">
        <v>5.6000000000000001E-2</v>
      </c>
      <c r="I236" s="34">
        <v>5.6000000000000001E-2</v>
      </c>
      <c r="J236" s="237">
        <v>5.6000000000000001E-2</v>
      </c>
      <c r="K236" s="34"/>
    </row>
    <row r="237" spans="2:12" ht="16" thickBot="1" x14ac:dyDescent="0.25">
      <c r="B237" s="236" t="s">
        <v>216</v>
      </c>
      <c r="E237" s="37"/>
      <c r="F237" s="114">
        <f>AVERAGE(E234:F234)</f>
        <v>1460.3793103448274</v>
      </c>
      <c r="G237" s="114">
        <f>AVERAGE(F234:G234)</f>
        <v>1409.1379310344828</v>
      </c>
      <c r="H237" s="114">
        <f>AVERAGE(G234:H234)</f>
        <v>1357.8965517241377</v>
      </c>
      <c r="I237" s="114">
        <f>AVERAGE(H234:I234)</f>
        <v>1306.655172413793</v>
      </c>
      <c r="J237" s="151">
        <f>AVERAGE(I234:J234)</f>
        <v>1255.4137931034479</v>
      </c>
      <c r="K237" s="35"/>
      <c r="L237" s="35"/>
    </row>
    <row r="238" spans="2:12" x14ac:dyDescent="0.2">
      <c r="B238" s="236" t="s">
        <v>217</v>
      </c>
      <c r="F238" s="32">
        <f>F237*E236</f>
        <v>81.781241379310345</v>
      </c>
      <c r="G238" s="32">
        <f>G237*F236</f>
        <v>78.911724137931031</v>
      </c>
      <c r="H238" s="32">
        <f>H237*G236</f>
        <v>76.042206896551718</v>
      </c>
      <c r="I238" s="32">
        <f>I237*H236</f>
        <v>73.172689655172405</v>
      </c>
      <c r="J238" s="141">
        <f>J237*I236</f>
        <v>70.303172413793078</v>
      </c>
      <c r="K238" s="35"/>
      <c r="L238" s="35"/>
    </row>
    <row r="239" spans="2:12" x14ac:dyDescent="0.2">
      <c r="B239" s="136"/>
      <c r="F239" s="32"/>
      <c r="G239" s="32"/>
      <c r="H239" s="32"/>
      <c r="I239" s="32"/>
      <c r="J239" s="141"/>
    </row>
    <row r="240" spans="2:12" x14ac:dyDescent="0.2">
      <c r="B240" s="240" t="s">
        <v>294</v>
      </c>
      <c r="E240" s="35"/>
      <c r="F240" s="31">
        <f>E242</f>
        <v>735</v>
      </c>
      <c r="G240" s="31">
        <f>F242</f>
        <v>711.29032258064512</v>
      </c>
      <c r="H240" s="31">
        <f>G242</f>
        <v>687.58064516129025</v>
      </c>
      <c r="I240" s="31">
        <f>H242</f>
        <v>663.87096774193537</v>
      </c>
      <c r="J240" s="140">
        <f>I242</f>
        <v>640.1612903225805</v>
      </c>
      <c r="K240" s="36"/>
    </row>
    <row r="241" spans="2:12" ht="16" thickBot="1" x14ac:dyDescent="0.25">
      <c r="B241" s="136" t="s">
        <v>295</v>
      </c>
      <c r="E241" s="37"/>
      <c r="F241" s="114">
        <f>$F$240/31</f>
        <v>23.70967741935484</v>
      </c>
      <c r="G241" s="114">
        <f>$F$240/31</f>
        <v>23.70967741935484</v>
      </c>
      <c r="H241" s="114">
        <f>$F$240/31</f>
        <v>23.70967741935484</v>
      </c>
      <c r="I241" s="114">
        <f>$F$240/31</f>
        <v>23.70967741935484</v>
      </c>
      <c r="J241" s="151">
        <f>$F$240/31</f>
        <v>23.70967741935484</v>
      </c>
      <c r="K241" s="35"/>
    </row>
    <row r="242" spans="2:12" x14ac:dyDescent="0.2">
      <c r="B242" s="137" t="s">
        <v>296</v>
      </c>
      <c r="E242" s="207">
        <v>735</v>
      </c>
      <c r="F242" s="32">
        <f>F240-F241</f>
        <v>711.29032258064512</v>
      </c>
      <c r="G242" s="32">
        <f>G240-G241</f>
        <v>687.58064516129025</v>
      </c>
      <c r="H242" s="32">
        <f>H240-H241</f>
        <v>663.87096774193537</v>
      </c>
      <c r="I242" s="32">
        <f>I240-I241</f>
        <v>640.1612903225805</v>
      </c>
      <c r="J242" s="141">
        <f>J240-J241</f>
        <v>616.45161290322562</v>
      </c>
      <c r="K242" s="35"/>
    </row>
    <row r="243" spans="2:12" x14ac:dyDescent="0.2">
      <c r="B243" s="136"/>
      <c r="J243" s="138"/>
    </row>
    <row r="244" spans="2:12" x14ac:dyDescent="0.2">
      <c r="B244" s="236" t="s">
        <v>215</v>
      </c>
      <c r="E244" s="34">
        <v>0.06</v>
      </c>
      <c r="F244" s="34">
        <v>0.06</v>
      </c>
      <c r="G244" s="34">
        <v>0.06</v>
      </c>
      <c r="H244" s="34">
        <v>0.06</v>
      </c>
      <c r="I244" s="34">
        <v>0.06</v>
      </c>
      <c r="J244" s="237">
        <v>0.06</v>
      </c>
      <c r="K244" s="34"/>
    </row>
    <row r="245" spans="2:12" ht="16" thickBot="1" x14ac:dyDescent="0.25">
      <c r="B245" s="236" t="s">
        <v>216</v>
      </c>
      <c r="E245" s="37"/>
      <c r="F245" s="37">
        <f>AVERAGE(E242:F242)</f>
        <v>723.14516129032256</v>
      </c>
      <c r="G245" s="37">
        <f>AVERAGE(F242:G242)</f>
        <v>699.43548387096769</v>
      </c>
      <c r="H245" s="37">
        <f>AVERAGE(G242:H242)</f>
        <v>675.72580645161281</v>
      </c>
      <c r="I245" s="37">
        <f>AVERAGE(H242:I242)</f>
        <v>652.01612903225794</v>
      </c>
      <c r="J245" s="238">
        <f>AVERAGE(I242:J242)</f>
        <v>628.30645161290306</v>
      </c>
      <c r="K245" s="35"/>
      <c r="L245" s="35"/>
    </row>
    <row r="246" spans="2:12" x14ac:dyDescent="0.2">
      <c r="B246" s="236" t="s">
        <v>217</v>
      </c>
      <c r="F246" s="35">
        <f>F245*E244</f>
        <v>43.388709677419349</v>
      </c>
      <c r="G246" s="35">
        <f>G245*F244</f>
        <v>41.96612903225806</v>
      </c>
      <c r="H246" s="35">
        <f>H245*G244</f>
        <v>40.54354838709677</v>
      </c>
      <c r="I246" s="35">
        <f>I245*H244</f>
        <v>39.120967741935473</v>
      </c>
      <c r="J246" s="239">
        <f>J245*I244</f>
        <v>37.698387096774184</v>
      </c>
      <c r="K246" s="35"/>
      <c r="L246" s="35"/>
    </row>
    <row r="247" spans="2:12" x14ac:dyDescent="0.2">
      <c r="B247" s="236"/>
      <c r="F247" s="35"/>
      <c r="G247" s="35"/>
      <c r="H247" s="35"/>
      <c r="I247" s="35"/>
      <c r="J247" s="239"/>
      <c r="K247" s="35"/>
      <c r="L247" s="35"/>
    </row>
    <row r="248" spans="2:12" x14ac:dyDescent="0.2">
      <c r="B248" s="240" t="s">
        <v>474</v>
      </c>
      <c r="E248" s="35"/>
      <c r="F248" s="31">
        <f>E250</f>
        <v>21384</v>
      </c>
      <c r="G248" s="31">
        <f>F250</f>
        <v>20736</v>
      </c>
      <c r="H248" s="31">
        <f>G250</f>
        <v>20088</v>
      </c>
      <c r="I248" s="31">
        <f>H250</f>
        <v>19440</v>
      </c>
      <c r="J248" s="140">
        <f>I250</f>
        <v>18792</v>
      </c>
      <c r="K248" s="35"/>
      <c r="L248" s="35"/>
    </row>
    <row r="249" spans="2:12" ht="16" thickBot="1" x14ac:dyDescent="0.25">
      <c r="B249" s="136" t="s">
        <v>475</v>
      </c>
      <c r="E249" s="37"/>
      <c r="F249" s="114">
        <f>$F$248/33</f>
        <v>648</v>
      </c>
      <c r="G249" s="114">
        <f>$F$248/33</f>
        <v>648</v>
      </c>
      <c r="H249" s="114">
        <f>$F$248/33</f>
        <v>648</v>
      </c>
      <c r="I249" s="114">
        <f>$F$248/33</f>
        <v>648</v>
      </c>
      <c r="J249" s="151">
        <f>$F$248/33</f>
        <v>648</v>
      </c>
      <c r="K249" s="35"/>
      <c r="L249" s="35"/>
    </row>
    <row r="250" spans="2:12" x14ac:dyDescent="0.2">
      <c r="B250" s="137" t="s">
        <v>476</v>
      </c>
      <c r="E250" s="139">
        <v>21384</v>
      </c>
      <c r="F250" s="32">
        <f>F248-F249</f>
        <v>20736</v>
      </c>
      <c r="G250" s="32">
        <f>G248-G249</f>
        <v>20088</v>
      </c>
      <c r="H250" s="32">
        <f>H248-H249</f>
        <v>19440</v>
      </c>
      <c r="I250" s="32">
        <f>I248-I249</f>
        <v>18792</v>
      </c>
      <c r="J250" s="141">
        <f>J248-J249</f>
        <v>18144</v>
      </c>
      <c r="K250" s="35"/>
      <c r="L250" s="35"/>
    </row>
    <row r="251" spans="2:12" x14ac:dyDescent="0.2">
      <c r="B251" s="136"/>
      <c r="J251" s="138"/>
    </row>
    <row r="252" spans="2:12" x14ac:dyDescent="0.2">
      <c r="B252" s="136" t="s">
        <v>297</v>
      </c>
      <c r="F252">
        <f>E254</f>
        <v>68</v>
      </c>
      <c r="G252">
        <f>F254</f>
        <v>65</v>
      </c>
      <c r="H252">
        <f>G254</f>
        <v>62</v>
      </c>
      <c r="I252">
        <f>H254</f>
        <v>59</v>
      </c>
      <c r="J252" s="138">
        <f>I254</f>
        <v>56</v>
      </c>
    </row>
    <row r="253" spans="2:12" ht="16" thickBot="1" x14ac:dyDescent="0.25">
      <c r="B253" s="136" t="s">
        <v>219</v>
      </c>
      <c r="E253" s="113"/>
      <c r="F253" s="326">
        <v>3</v>
      </c>
      <c r="G253" s="326">
        <v>3</v>
      </c>
      <c r="H253" s="326">
        <v>3</v>
      </c>
      <c r="I253" s="326">
        <v>3</v>
      </c>
      <c r="J253" s="327">
        <v>3</v>
      </c>
    </row>
    <row r="254" spans="2:12" x14ac:dyDescent="0.2">
      <c r="B254" s="136" t="s">
        <v>298</v>
      </c>
      <c r="E254" s="29">
        <v>68</v>
      </c>
      <c r="F254">
        <f>F252-F253</f>
        <v>65</v>
      </c>
      <c r="G254">
        <f>G252-G253</f>
        <v>62</v>
      </c>
      <c r="H254">
        <f>H252-H253</f>
        <v>59</v>
      </c>
      <c r="I254">
        <f>I252-I253</f>
        <v>56</v>
      </c>
      <c r="J254" s="138">
        <f>J252-J253</f>
        <v>53</v>
      </c>
    </row>
    <row r="255" spans="2:12" x14ac:dyDescent="0.2">
      <c r="B255" s="136"/>
      <c r="J255" s="138"/>
    </row>
    <row r="256" spans="2:12" x14ac:dyDescent="0.2">
      <c r="B256" s="136" t="s">
        <v>225</v>
      </c>
      <c r="E256" s="34">
        <v>5.0900000000000001E-2</v>
      </c>
      <c r="F256" s="34">
        <v>5.0900000000000001E-2</v>
      </c>
      <c r="G256" s="34">
        <v>5.0900000000000001E-2</v>
      </c>
      <c r="H256" s="34">
        <v>5.0900000000000001E-2</v>
      </c>
      <c r="I256" s="34">
        <v>5.0900000000000001E-2</v>
      </c>
      <c r="J256" s="237">
        <v>5.0900000000000001E-2</v>
      </c>
    </row>
    <row r="257" spans="2:11" ht="16" thickBot="1" x14ac:dyDescent="0.25">
      <c r="B257" s="136" t="s">
        <v>216</v>
      </c>
      <c r="E257" s="113"/>
      <c r="F257" s="114">
        <f>AVERAGE(E254:F254)</f>
        <v>66.5</v>
      </c>
      <c r="G257" s="114">
        <f>AVERAGE(F254:G254)</f>
        <v>63.5</v>
      </c>
      <c r="H257" s="114">
        <f>AVERAGE(G254:H254)</f>
        <v>60.5</v>
      </c>
      <c r="I257" s="114">
        <f>AVERAGE(H254:I254)</f>
        <v>57.5</v>
      </c>
      <c r="J257" s="151">
        <f>AVERAGE(I254:J254)</f>
        <v>54.5</v>
      </c>
    </row>
    <row r="258" spans="2:11" x14ac:dyDescent="0.2">
      <c r="B258" s="242" t="s">
        <v>217</v>
      </c>
      <c r="C258" s="33"/>
      <c r="D258" s="33"/>
      <c r="E258" s="33"/>
      <c r="F258" s="154">
        <f>F256*F257</f>
        <v>3.3848500000000001</v>
      </c>
      <c r="G258" s="154">
        <f>G256*G257</f>
        <v>3.2321499999999999</v>
      </c>
      <c r="H258" s="154">
        <f>H256*H257</f>
        <v>3.07945</v>
      </c>
      <c r="I258" s="154">
        <f>I256*I257</f>
        <v>2.9267500000000002</v>
      </c>
      <c r="J258" s="155">
        <f>J256*J257</f>
        <v>2.7740499999999999</v>
      </c>
    </row>
    <row r="259" spans="2:11" x14ac:dyDescent="0.2">
      <c r="B259" s="136"/>
      <c r="J259" s="138"/>
    </row>
    <row r="260" spans="2:11" x14ac:dyDescent="0.2">
      <c r="B260" s="243" t="s">
        <v>299</v>
      </c>
      <c r="C260" s="208"/>
      <c r="D260" s="208"/>
      <c r="E260" s="208"/>
      <c r="F260" s="208"/>
      <c r="G260" s="208"/>
      <c r="H260" s="208"/>
      <c r="I260" s="208"/>
      <c r="J260" s="244"/>
    </row>
    <row r="261" spans="2:11" x14ac:dyDescent="0.2">
      <c r="B261" s="314" t="s">
        <v>211</v>
      </c>
      <c r="C261" s="315"/>
      <c r="D261" s="315"/>
      <c r="E261" s="325">
        <f t="shared" ref="E261:J261" si="2">E8+E23+E16</f>
        <v>592</v>
      </c>
      <c r="F261" s="325">
        <f t="shared" ca="1" si="2"/>
        <v>8079.1748750447878</v>
      </c>
      <c r="G261" s="325">
        <f t="shared" ca="1" si="2"/>
        <v>11061.901771262905</v>
      </c>
      <c r="H261" s="325">
        <f t="shared" ca="1" si="2"/>
        <v>6151.023717868833</v>
      </c>
      <c r="I261" s="325">
        <f t="shared" ca="1" si="2"/>
        <v>35</v>
      </c>
      <c r="J261" s="141">
        <f t="shared" ca="1" si="2"/>
        <v>33</v>
      </c>
    </row>
    <row r="262" spans="2:11" x14ac:dyDescent="0.2">
      <c r="B262" s="136" t="s">
        <v>300</v>
      </c>
      <c r="E262" s="32">
        <f t="shared" ref="E262:J262" si="3">E242+E234+E226+E218+E210+E202+E194+E186+E178+E170+E162+E154+E146+E138+E130+E122+E114+E106+E98+E90+E82+E74+E66+E58+E50+E42+E34+E254</f>
        <v>30871</v>
      </c>
      <c r="F262" s="32">
        <f t="shared" si="3"/>
        <v>26074.318153909757</v>
      </c>
      <c r="G262" s="32">
        <f t="shared" si="3"/>
        <v>21277.636307819521</v>
      </c>
      <c r="H262" s="32">
        <f t="shared" si="3"/>
        <v>17650.954461729281</v>
      </c>
      <c r="I262" s="32">
        <f t="shared" si="3"/>
        <v>15288.272615639042</v>
      </c>
      <c r="J262" s="141">
        <f t="shared" si="3"/>
        <v>13174.590769548799</v>
      </c>
    </row>
    <row r="263" spans="2:11" x14ac:dyDescent="0.2">
      <c r="B263" s="136" t="s">
        <v>301</v>
      </c>
      <c r="E263" s="32">
        <f t="shared" ref="E263:J263" si="4">E261+E262</f>
        <v>31463</v>
      </c>
      <c r="F263" s="32">
        <f t="shared" ca="1" si="4"/>
        <v>34153.493028954545</v>
      </c>
      <c r="G263" s="32">
        <f t="shared" ca="1" si="4"/>
        <v>32339.538079082427</v>
      </c>
      <c r="H263" s="32">
        <f t="shared" ca="1" si="4"/>
        <v>23801.978179598114</v>
      </c>
      <c r="I263" s="32">
        <f t="shared" ca="1" si="4"/>
        <v>15323.272615639042</v>
      </c>
      <c r="J263" s="141">
        <f t="shared" ca="1" si="4"/>
        <v>13207.590769548799</v>
      </c>
      <c r="K263" s="31"/>
    </row>
    <row r="264" spans="2:11" x14ac:dyDescent="0.2">
      <c r="B264" s="136"/>
      <c r="J264" s="138"/>
      <c r="K264" s="31"/>
    </row>
    <row r="265" spans="2:11" x14ac:dyDescent="0.2">
      <c r="B265" s="136" t="s">
        <v>302</v>
      </c>
      <c r="F265" s="32">
        <f ca="1">F12+F28+F20</f>
        <v>414.71215113977973</v>
      </c>
      <c r="G265" s="32">
        <f ca="1">G12+G28+G20</f>
        <v>487.14040064853083</v>
      </c>
      <c r="H265" s="32">
        <f ca="1">H12+H28+H20</f>
        <v>438.06895369840277</v>
      </c>
      <c r="I265" s="32">
        <f ca="1">I12+I28+I20</f>
        <v>157.43430361976181</v>
      </c>
      <c r="J265" s="141">
        <f ca="1">J12+J28+J20</f>
        <v>1.7305999999999999</v>
      </c>
      <c r="K265" s="31"/>
    </row>
    <row r="266" spans="2:11" x14ac:dyDescent="0.2">
      <c r="B266" s="136" t="s">
        <v>303</v>
      </c>
      <c r="F266" s="32">
        <f>F246+F238+F230+F222+F214+F206+F198+F190+F182+F174+F166+F158+F150+F142+F134+F126+F118+F110+F102+F94+F86+F78+F70+F62+F54+F46+F38+F258</f>
        <v>1272.7944217652143</v>
      </c>
      <c r="G266" s="32">
        <f>G246+G238+G230+G222+G214+G206+G198+G190+G182+G174+G166+G158+G150+G142+G134+G126+G118+G110+G102+G94+G86+G78+G70+G62+G54+G46+G38+G258</f>
        <v>1070.544365295643</v>
      </c>
      <c r="H266" s="32">
        <f>H246+H238+H230+H222+H214+H206+H198+H190+H182+H174+H166+H158+H150+H142+H134+H126+H118+H110+H102+H94+H86+H78+H70+H62+H54+H46+H38+H258</f>
        <v>890.56893382607109</v>
      </c>
      <c r="I266" s="32">
        <f>I246+I238+I230+I222+I214+I206+I198+I190+I182+I174+I166+I158+I150+I142+I134+I126+I118+I110+I102+I94+I86+I78+I70+I62+I54+I46+I38+I258</f>
        <v>760.51812735649958</v>
      </c>
      <c r="J266" s="141">
        <f>J246+J238+J230+J222+J214+J206+J198+J190+J182+J174+J166+J158+J150+J142+J134+J126+J118+J110+J102+J94+J86+J78+J70+J62+J54+J46+J38+J258</f>
        <v>664.34232088692818</v>
      </c>
    </row>
    <row r="267" spans="2:11" x14ac:dyDescent="0.2">
      <c r="B267" s="136" t="s">
        <v>304</v>
      </c>
      <c r="F267" s="32">
        <f ca="1">F265+F266</f>
        <v>1687.5065729049941</v>
      </c>
      <c r="G267" s="32">
        <f ca="1">G265+G266</f>
        <v>1557.6847659441739</v>
      </c>
      <c r="H267" s="32">
        <f ca="1">H265+H266</f>
        <v>1328.6378875244739</v>
      </c>
      <c r="I267" s="32">
        <f ca="1">I265+I266</f>
        <v>917.95243097626144</v>
      </c>
      <c r="J267" s="141">
        <f ca="1">J265+J266</f>
        <v>666.07292088692816</v>
      </c>
    </row>
    <row r="268" spans="2:11" x14ac:dyDescent="0.2">
      <c r="B268" s="136"/>
      <c r="J268" s="138"/>
      <c r="K268" s="32"/>
    </row>
    <row r="269" spans="2:11" x14ac:dyDescent="0.2">
      <c r="B269" s="245" t="s">
        <v>305</v>
      </c>
      <c r="J269" s="138"/>
    </row>
    <row r="270" spans="2:11" x14ac:dyDescent="0.2">
      <c r="B270" s="136" t="s">
        <v>157</v>
      </c>
      <c r="E270" s="31">
        <f>'Balance Sheet'!G5</f>
        <v>7676</v>
      </c>
      <c r="F270" s="31">
        <f>'Balance Sheet'!H5</f>
        <v>9258.8782695518221</v>
      </c>
      <c r="G270" s="31">
        <f>'Balance Sheet'!I5</f>
        <v>9420.812590399355</v>
      </c>
      <c r="H270" s="31">
        <f>'Balance Sheet'!J5</f>
        <v>9341.6392940689511</v>
      </c>
      <c r="I270" s="31">
        <f>'Balance Sheet'!K5</f>
        <v>9094.1538817407345</v>
      </c>
      <c r="J270" s="140">
        <f>'Balance Sheet'!L5</f>
        <v>9851.1119930573095</v>
      </c>
      <c r="K270" s="34"/>
    </row>
    <row r="271" spans="2:11" x14ac:dyDescent="0.2">
      <c r="B271" s="136" t="s">
        <v>113</v>
      </c>
      <c r="J271" s="138"/>
    </row>
    <row r="272" spans="2:11" x14ac:dyDescent="0.2">
      <c r="B272" s="136" t="s">
        <v>306</v>
      </c>
      <c r="E272" s="32">
        <f>E270-E271</f>
        <v>7676</v>
      </c>
      <c r="F272" s="32">
        <f t="shared" ref="F272:J272" si="5">F270-F271</f>
        <v>9258.8782695518221</v>
      </c>
      <c r="G272" s="32">
        <f t="shared" si="5"/>
        <v>9420.812590399355</v>
      </c>
      <c r="H272" s="32">
        <f t="shared" si="5"/>
        <v>9341.6392940689511</v>
      </c>
      <c r="I272" s="32">
        <f t="shared" si="5"/>
        <v>9094.1538817407345</v>
      </c>
      <c r="J272" s="141">
        <f t="shared" si="5"/>
        <v>9851.1119930573095</v>
      </c>
      <c r="K272" s="32"/>
    </row>
    <row r="273" spans="2:10" x14ac:dyDescent="0.2">
      <c r="B273" s="136"/>
      <c r="J273" s="138"/>
    </row>
    <row r="274" spans="2:10" x14ac:dyDescent="0.2">
      <c r="B274" s="236" t="s">
        <v>215</v>
      </c>
      <c r="E274" s="34">
        <v>4.2000000000000003E-2</v>
      </c>
      <c r="F274" s="34">
        <v>4.2000000000000003E-2</v>
      </c>
      <c r="G274" s="34">
        <v>4.2000000000000003E-2</v>
      </c>
      <c r="H274" s="34">
        <v>4.2000000000000003E-2</v>
      </c>
      <c r="I274" s="34">
        <v>4.2000000000000003E-2</v>
      </c>
      <c r="J274" s="237">
        <v>4.2000000000000003E-2</v>
      </c>
    </row>
    <row r="275" spans="2:10" x14ac:dyDescent="0.2">
      <c r="B275" s="236"/>
      <c r="J275" s="138"/>
    </row>
    <row r="276" spans="2:10" x14ac:dyDescent="0.2">
      <c r="B276" s="236" t="s">
        <v>216</v>
      </c>
      <c r="F276" s="32">
        <f>AVERAGE(E272:F272)</f>
        <v>8467.439134775912</v>
      </c>
      <c r="G276" s="32">
        <f t="shared" ref="G276:J276" si="6">AVERAGE(F272:G272)</f>
        <v>9339.8454299755886</v>
      </c>
      <c r="H276" s="32">
        <f t="shared" si="6"/>
        <v>9381.2259422341522</v>
      </c>
      <c r="I276" s="32">
        <f t="shared" si="6"/>
        <v>9217.8965879048428</v>
      </c>
      <c r="J276" s="141">
        <f t="shared" si="6"/>
        <v>9472.6329373990229</v>
      </c>
    </row>
    <row r="277" spans="2:10" ht="16" thickBot="1" x14ac:dyDescent="0.25">
      <c r="B277" s="246" t="s">
        <v>307</v>
      </c>
      <c r="C277" s="113"/>
      <c r="D277" s="113"/>
      <c r="E277" s="113"/>
      <c r="F277" s="114">
        <f>F274*F276</f>
        <v>355.63244366058831</v>
      </c>
      <c r="G277" s="114">
        <f t="shared" ref="G277:J277" si="7">G274*G276</f>
        <v>392.27350805897476</v>
      </c>
      <c r="H277" s="114">
        <f t="shared" si="7"/>
        <v>394.01148957383441</v>
      </c>
      <c r="I277" s="114">
        <f t="shared" si="7"/>
        <v>387.15165669200343</v>
      </c>
      <c r="J277" s="151">
        <f t="shared" si="7"/>
        <v>397.85058337075901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5369-A969-4223-A93C-80FCF0BCC8B0}">
  <dimension ref="A1:P38"/>
  <sheetViews>
    <sheetView showGridLines="0" zoomScale="87" workbookViewId="0"/>
  </sheetViews>
  <sheetFormatPr baseColWidth="10" defaultColWidth="8.5" defaultRowHeight="15" x14ac:dyDescent="0.2"/>
  <cols>
    <col min="1" max="1" width="3.5" customWidth="1"/>
    <col min="2" max="2" width="29.5" bestFit="1" customWidth="1"/>
    <col min="3" max="3" width="11.5" bestFit="1" customWidth="1"/>
    <col min="5" max="5" width="30.5" bestFit="1" customWidth="1"/>
    <col min="6" max="6" width="10.5" bestFit="1" customWidth="1"/>
    <col min="8" max="8" width="28.5" bestFit="1" customWidth="1"/>
    <col min="9" max="9" width="10.5" bestFit="1" customWidth="1"/>
    <col min="12" max="12" width="12.5" bestFit="1" customWidth="1"/>
    <col min="13" max="13" width="12.5" customWidth="1"/>
    <col min="14" max="14" width="13.5" bestFit="1" customWidth="1"/>
    <col min="15" max="15" width="9.5" customWidth="1"/>
  </cols>
  <sheetData>
    <row r="1" spans="1:16" s="257" customFormat="1" ht="24" x14ac:dyDescent="0.3">
      <c r="A1" s="255" t="s">
        <v>308</v>
      </c>
      <c r="B1" s="256"/>
      <c r="C1" s="557"/>
      <c r="D1" s="557"/>
      <c r="E1" s="557"/>
      <c r="F1" s="557"/>
      <c r="G1" s="557"/>
      <c r="H1" s="557"/>
      <c r="I1" s="557"/>
      <c r="J1" s="557"/>
      <c r="K1" s="557"/>
      <c r="L1" s="557"/>
      <c r="M1" s="557"/>
      <c r="N1" s="557"/>
      <c r="O1" s="557"/>
      <c r="P1" s="557"/>
    </row>
    <row r="2" spans="1:16" s="257" customFormat="1" x14ac:dyDescent="0.2">
      <c r="A2" s="254" t="s">
        <v>309</v>
      </c>
      <c r="B2" s="256"/>
      <c r="C2" s="557"/>
      <c r="D2" s="557"/>
      <c r="E2" s="557"/>
      <c r="F2" s="557"/>
      <c r="G2" s="557"/>
      <c r="H2" s="557"/>
      <c r="I2" s="557"/>
      <c r="J2" s="557"/>
      <c r="K2" s="557"/>
      <c r="L2" s="557"/>
      <c r="M2" s="557"/>
      <c r="N2" s="557"/>
      <c r="O2" s="557"/>
      <c r="P2" s="557"/>
    </row>
    <row r="3" spans="1:16" ht="16" thickBot="1" x14ac:dyDescent="0.25"/>
    <row r="4" spans="1:16" ht="16" x14ac:dyDescent="0.2">
      <c r="B4" s="269" t="s">
        <v>310</v>
      </c>
      <c r="C4" s="558"/>
    </row>
    <row r="5" spans="1:16" ht="17" thickBot="1" x14ac:dyDescent="0.25">
      <c r="B5" s="253" t="s">
        <v>311</v>
      </c>
      <c r="C5" s="559"/>
    </row>
    <row r="6" spans="1:16" ht="16" thickBot="1" x14ac:dyDescent="0.25">
      <c r="B6" s="560"/>
      <c r="C6" s="272" t="s">
        <v>312</v>
      </c>
    </row>
    <row r="7" spans="1:16" x14ac:dyDescent="0.2">
      <c r="B7" s="561" t="s">
        <v>313</v>
      </c>
      <c r="C7" s="273">
        <v>274900</v>
      </c>
    </row>
    <row r="8" spans="1:16" x14ac:dyDescent="0.2">
      <c r="B8" s="561" t="s">
        <v>314</v>
      </c>
      <c r="C8" s="273">
        <v>7781</v>
      </c>
    </row>
    <row r="9" spans="1:16" ht="16" thickBot="1" x14ac:dyDescent="0.25">
      <c r="B9" s="561" t="s">
        <v>315</v>
      </c>
      <c r="C9" s="274">
        <v>2775</v>
      </c>
    </row>
    <row r="10" spans="1:16" x14ac:dyDescent="0.2">
      <c r="B10" s="562" t="s">
        <v>316</v>
      </c>
      <c r="C10" s="563">
        <f>C8+C9</f>
        <v>10556</v>
      </c>
    </row>
    <row r="11" spans="1:16" x14ac:dyDescent="0.2">
      <c r="B11" s="136"/>
      <c r="C11" s="564"/>
    </row>
    <row r="12" spans="1:16" x14ac:dyDescent="0.2">
      <c r="B12" s="137" t="s">
        <v>158</v>
      </c>
      <c r="C12" s="275">
        <v>6288</v>
      </c>
    </row>
    <row r="13" spans="1:16" ht="16" thickBot="1" x14ac:dyDescent="0.25">
      <c r="B13" s="561" t="s">
        <v>317</v>
      </c>
      <c r="C13" s="275">
        <v>1200</v>
      </c>
    </row>
    <row r="14" spans="1:16" ht="16" thickBot="1" x14ac:dyDescent="0.25">
      <c r="B14" s="562" t="s">
        <v>318</v>
      </c>
      <c r="C14" s="276">
        <f>C12+C13</f>
        <v>7488</v>
      </c>
    </row>
    <row r="15" spans="1:16" ht="16" thickBot="1" x14ac:dyDescent="0.25">
      <c r="B15" s="565"/>
      <c r="C15" s="566"/>
    </row>
    <row r="16" spans="1:16" ht="16" x14ac:dyDescent="0.2">
      <c r="B16" s="269" t="s">
        <v>319</v>
      </c>
      <c r="C16" s="558"/>
      <c r="E16" s="269" t="s">
        <v>320</v>
      </c>
      <c r="F16" s="558"/>
      <c r="H16" s="269" t="s">
        <v>321</v>
      </c>
      <c r="I16" s="558"/>
      <c r="K16" s="269" t="s">
        <v>322</v>
      </c>
      <c r="L16" s="279"/>
      <c r="M16" s="279"/>
      <c r="N16" s="567"/>
    </row>
    <row r="17" spans="2:15" ht="17" thickBot="1" x14ac:dyDescent="0.25">
      <c r="B17" s="253" t="s">
        <v>311</v>
      </c>
      <c r="C17" s="559"/>
      <c r="E17" s="253" t="s">
        <v>311</v>
      </c>
      <c r="F17" s="559"/>
      <c r="H17" s="253" t="s">
        <v>311</v>
      </c>
      <c r="I17" s="559"/>
      <c r="K17" s="253" t="s">
        <v>311</v>
      </c>
      <c r="L17" s="278"/>
      <c r="M17" s="278"/>
      <c r="N17" s="567"/>
    </row>
    <row r="18" spans="2:15" ht="16" thickBot="1" x14ac:dyDescent="0.25">
      <c r="B18" s="560"/>
      <c r="C18" s="272" t="s">
        <v>323</v>
      </c>
      <c r="E18" s="560"/>
      <c r="F18" s="272" t="s">
        <v>323</v>
      </c>
      <c r="H18" s="560"/>
      <c r="I18" s="272" t="s">
        <v>323</v>
      </c>
      <c r="K18" s="560"/>
      <c r="L18" s="271" t="s">
        <v>323</v>
      </c>
      <c r="M18" s="272" t="s">
        <v>8</v>
      </c>
    </row>
    <row r="19" spans="2:15" x14ac:dyDescent="0.2">
      <c r="B19" s="561" t="s">
        <v>313</v>
      </c>
      <c r="C19" s="275">
        <v>447567</v>
      </c>
      <c r="E19" s="561" t="s">
        <v>313</v>
      </c>
      <c r="F19" s="275">
        <v>199125</v>
      </c>
      <c r="H19" s="561" t="s">
        <v>313</v>
      </c>
      <c r="I19" s="275">
        <v>1728</v>
      </c>
      <c r="K19" s="561" t="s">
        <v>324</v>
      </c>
      <c r="L19" s="300">
        <v>22.18</v>
      </c>
      <c r="M19" s="280">
        <f>L19</f>
        <v>22.18</v>
      </c>
    </row>
    <row r="20" spans="2:15" x14ac:dyDescent="0.2">
      <c r="B20" s="561" t="s">
        <v>314</v>
      </c>
      <c r="C20" s="275">
        <v>18964</v>
      </c>
      <c r="E20" s="561" t="s">
        <v>314</v>
      </c>
      <c r="F20" s="275">
        <v>7199</v>
      </c>
      <c r="H20" s="561" t="s">
        <v>314</v>
      </c>
      <c r="I20" s="275">
        <v>4660</v>
      </c>
      <c r="J20" s="18"/>
      <c r="K20" s="568" t="s">
        <v>325</v>
      </c>
      <c r="L20" s="301">
        <v>13.23</v>
      </c>
      <c r="M20" s="569">
        <v>24365</v>
      </c>
    </row>
    <row r="21" spans="2:15" ht="16" thickBot="1" x14ac:dyDescent="0.25">
      <c r="B21" s="251" t="s">
        <v>315</v>
      </c>
      <c r="C21" s="275">
        <v>4361</v>
      </c>
      <c r="E21" s="561" t="s">
        <v>315</v>
      </c>
      <c r="F21" s="275">
        <v>1546</v>
      </c>
      <c r="H21" s="561" t="s">
        <v>315</v>
      </c>
      <c r="I21" s="275">
        <v>4606</v>
      </c>
      <c r="K21" s="568" t="s">
        <v>326</v>
      </c>
      <c r="L21" s="301">
        <v>9.84</v>
      </c>
      <c r="M21" s="282">
        <f>L21</f>
        <v>9.84</v>
      </c>
    </row>
    <row r="22" spans="2:15" x14ac:dyDescent="0.2">
      <c r="B22" s="562" t="s">
        <v>316</v>
      </c>
      <c r="C22" s="563">
        <f>SUM(C20:C21)</f>
        <v>23325</v>
      </c>
      <c r="E22" s="562" t="s">
        <v>316</v>
      </c>
      <c r="F22" s="563">
        <f>F21+F20</f>
        <v>8745</v>
      </c>
      <c r="H22" s="562" t="s">
        <v>316</v>
      </c>
      <c r="I22" s="563">
        <f>I20+I21</f>
        <v>9266</v>
      </c>
      <c r="K22" s="568" t="s">
        <v>327</v>
      </c>
      <c r="L22" s="301">
        <v>25.28</v>
      </c>
      <c r="M22" s="282">
        <f>L22</f>
        <v>25.28</v>
      </c>
    </row>
    <row r="23" spans="2:15" x14ac:dyDescent="0.2">
      <c r="B23" s="136"/>
      <c r="C23" s="564"/>
      <c r="E23" s="136"/>
      <c r="F23" s="564"/>
      <c r="H23" s="136"/>
      <c r="I23" s="564"/>
      <c r="K23" s="568" t="s">
        <v>328</v>
      </c>
      <c r="L23" s="301">
        <v>9.84</v>
      </c>
      <c r="M23" s="282">
        <f>L23</f>
        <v>9.84</v>
      </c>
    </row>
    <row r="24" spans="2:15" x14ac:dyDescent="0.2">
      <c r="B24" s="137" t="s">
        <v>158</v>
      </c>
      <c r="C24" s="275">
        <v>12056</v>
      </c>
      <c r="E24" s="137" t="s">
        <v>158</v>
      </c>
      <c r="F24" s="275">
        <v>5662</v>
      </c>
      <c r="H24" s="137" t="s">
        <v>158</v>
      </c>
      <c r="I24" s="275">
        <v>1728</v>
      </c>
      <c r="K24" s="568" t="s">
        <v>329</v>
      </c>
      <c r="L24" s="301">
        <v>1.39</v>
      </c>
      <c r="M24" s="282">
        <f>L24</f>
        <v>1.39</v>
      </c>
    </row>
    <row r="25" spans="2:15" ht="16" thickBot="1" x14ac:dyDescent="0.25">
      <c r="B25" s="561" t="s">
        <v>317</v>
      </c>
      <c r="C25" s="275">
        <v>10762</v>
      </c>
      <c r="E25" s="561" t="s">
        <v>317</v>
      </c>
      <c r="F25" s="275">
        <v>1116</v>
      </c>
      <c r="H25" s="561" t="s">
        <v>317</v>
      </c>
      <c r="I25" s="275">
        <v>-2832</v>
      </c>
      <c r="K25" s="210" t="s">
        <v>330</v>
      </c>
      <c r="L25" s="302">
        <v>239.5</v>
      </c>
      <c r="M25" s="281">
        <f>L25</f>
        <v>239.5</v>
      </c>
    </row>
    <row r="26" spans="2:15" ht="16" thickBot="1" x14ac:dyDescent="0.25">
      <c r="B26" s="570" t="s">
        <v>318</v>
      </c>
      <c r="C26" s="571">
        <f>C24+C25</f>
        <v>22818</v>
      </c>
      <c r="E26" s="570" t="s">
        <v>318</v>
      </c>
      <c r="F26" s="571">
        <f>F24+F25</f>
        <v>6778</v>
      </c>
      <c r="H26" s="570" t="s">
        <v>318</v>
      </c>
      <c r="I26" s="308">
        <f>I24+I25</f>
        <v>-1104</v>
      </c>
    </row>
    <row r="27" spans="2:15" ht="16" thickBot="1" x14ac:dyDescent="0.25">
      <c r="B27" s="572"/>
      <c r="C27" s="303"/>
      <c r="E27" s="572"/>
      <c r="F27" s="573"/>
      <c r="H27" s="572"/>
      <c r="I27" s="303"/>
    </row>
    <row r="28" spans="2:15" ht="16" x14ac:dyDescent="0.2">
      <c r="B28" s="269" t="s">
        <v>331</v>
      </c>
      <c r="C28" s="558"/>
      <c r="E28" s="269" t="s">
        <v>332</v>
      </c>
      <c r="F28" s="558"/>
      <c r="H28" s="269" t="s">
        <v>319</v>
      </c>
      <c r="I28" s="558"/>
      <c r="K28" s="269" t="s">
        <v>333</v>
      </c>
      <c r="L28" s="279"/>
      <c r="M28" s="279"/>
      <c r="N28" s="279"/>
      <c r="O28" s="558"/>
    </row>
    <row r="29" spans="2:15" ht="17" thickBot="1" x14ac:dyDescent="0.25">
      <c r="B29" s="253" t="s">
        <v>311</v>
      </c>
      <c r="C29" s="559"/>
      <c r="E29" s="253" t="s">
        <v>311</v>
      </c>
      <c r="F29" s="559"/>
      <c r="H29" s="253" t="s">
        <v>311</v>
      </c>
      <c r="I29" s="559"/>
      <c r="K29" s="253"/>
      <c r="L29" s="278"/>
      <c r="M29" s="278"/>
      <c r="N29" s="278"/>
      <c r="O29" s="559"/>
    </row>
    <row r="30" spans="2:15" ht="16" thickBot="1" x14ac:dyDescent="0.25">
      <c r="B30" s="560"/>
      <c r="C30" s="272" t="s">
        <v>323</v>
      </c>
      <c r="E30" s="560"/>
      <c r="F30" s="272" t="s">
        <v>323</v>
      </c>
      <c r="H30" s="560"/>
      <c r="I30" s="272" t="s">
        <v>323</v>
      </c>
      <c r="K30" s="560"/>
      <c r="L30" s="574" t="s">
        <v>334</v>
      </c>
      <c r="M30" s="574" t="s">
        <v>335</v>
      </c>
      <c r="N30" s="575" t="s">
        <v>301</v>
      </c>
      <c r="O30" s="576" t="s">
        <v>305</v>
      </c>
    </row>
    <row r="31" spans="2:15" x14ac:dyDescent="0.2">
      <c r="B31" s="561" t="s">
        <v>313</v>
      </c>
      <c r="C31" s="275">
        <v>45426</v>
      </c>
      <c r="E31" s="561" t="s">
        <v>313</v>
      </c>
      <c r="F31" s="275">
        <v>129664</v>
      </c>
      <c r="H31" s="561" t="s">
        <v>313</v>
      </c>
      <c r="I31" s="275">
        <v>75600</v>
      </c>
      <c r="K31" s="561" t="s">
        <v>324</v>
      </c>
      <c r="L31" s="303">
        <v>592</v>
      </c>
      <c r="M31" s="303">
        <v>30871</v>
      </c>
      <c r="N31" s="252">
        <f>L31+M31</f>
        <v>31463</v>
      </c>
      <c r="O31" s="277">
        <f>'Balance Sheet'!G5</f>
        <v>7676</v>
      </c>
    </row>
    <row r="32" spans="2:15" x14ac:dyDescent="0.2">
      <c r="B32" s="561" t="s">
        <v>314</v>
      </c>
      <c r="C32" s="275">
        <v>781</v>
      </c>
      <c r="E32" s="561" t="s">
        <v>314</v>
      </c>
      <c r="F32" s="275">
        <v>129960</v>
      </c>
      <c r="H32" s="561" t="s">
        <v>314</v>
      </c>
      <c r="I32" s="275">
        <v>9832</v>
      </c>
      <c r="K32" s="568" t="s">
        <v>325</v>
      </c>
      <c r="L32" s="303">
        <v>6069</v>
      </c>
      <c r="M32" s="303">
        <v>72320</v>
      </c>
      <c r="N32" s="306">
        <v>77681</v>
      </c>
      <c r="O32" s="307">
        <v>24365</v>
      </c>
    </row>
    <row r="33" spans="2:15" ht="16" thickBot="1" x14ac:dyDescent="0.25">
      <c r="B33" s="251" t="s">
        <v>315</v>
      </c>
      <c r="C33" s="250">
        <v>195</v>
      </c>
      <c r="E33" s="251" t="s">
        <v>315</v>
      </c>
      <c r="F33" s="250">
        <v>698</v>
      </c>
      <c r="H33" s="251" t="s">
        <v>315</v>
      </c>
      <c r="I33" s="250">
        <v>3523</v>
      </c>
      <c r="K33" s="568" t="s">
        <v>326</v>
      </c>
      <c r="L33" s="270">
        <v>0</v>
      </c>
      <c r="M33" s="303">
        <v>3766</v>
      </c>
      <c r="N33" s="306">
        <v>3766</v>
      </c>
      <c r="O33" s="307">
        <v>4248</v>
      </c>
    </row>
    <row r="34" spans="2:15" x14ac:dyDescent="0.2">
      <c r="B34" s="562" t="s">
        <v>316</v>
      </c>
      <c r="C34" s="563">
        <f>SUM(C32:C33)</f>
        <v>976</v>
      </c>
      <c r="E34" s="562" t="s">
        <v>316</v>
      </c>
      <c r="F34" s="563">
        <f>SUM(F32:F33)</f>
        <v>130658</v>
      </c>
      <c r="H34" s="562" t="s">
        <v>316</v>
      </c>
      <c r="I34" s="563">
        <f>I32+I33</f>
        <v>13355</v>
      </c>
      <c r="K34" s="568" t="s">
        <v>327</v>
      </c>
      <c r="L34" s="304">
        <v>150</v>
      </c>
      <c r="M34" s="303">
        <v>30797</v>
      </c>
      <c r="N34" s="249">
        <f>L34+M34</f>
        <v>30947</v>
      </c>
      <c r="O34" s="307">
        <v>9491</v>
      </c>
    </row>
    <row r="35" spans="2:15" x14ac:dyDescent="0.2">
      <c r="B35" s="136"/>
      <c r="C35" s="564"/>
      <c r="E35" s="136"/>
      <c r="F35" s="564"/>
      <c r="H35" s="136"/>
      <c r="I35" s="564"/>
      <c r="K35" s="568" t="s">
        <v>328</v>
      </c>
      <c r="L35" s="303">
        <v>0</v>
      </c>
      <c r="M35" s="303">
        <v>12369</v>
      </c>
      <c r="N35" s="311">
        <f>M35</f>
        <v>12369</v>
      </c>
      <c r="O35" s="307">
        <v>1328</v>
      </c>
    </row>
    <row r="36" spans="2:15" x14ac:dyDescent="0.2">
      <c r="B36" s="137" t="s">
        <v>158</v>
      </c>
      <c r="C36" s="275">
        <v>472</v>
      </c>
      <c r="E36" s="137" t="s">
        <v>158</v>
      </c>
      <c r="F36" s="275">
        <v>1203</v>
      </c>
      <c r="H36" s="137" t="s">
        <v>158</v>
      </c>
      <c r="I36" s="275">
        <v>7782</v>
      </c>
      <c r="K36" s="568" t="s">
        <v>329</v>
      </c>
      <c r="L36" s="303">
        <v>0</v>
      </c>
      <c r="M36" s="303">
        <v>60502</v>
      </c>
      <c r="N36" s="306">
        <f>L36+M36</f>
        <v>60502</v>
      </c>
      <c r="O36" s="307">
        <v>8453</v>
      </c>
    </row>
    <row r="37" spans="2:15" ht="16" thickBot="1" x14ac:dyDescent="0.25">
      <c r="B37" s="561" t="s">
        <v>317</v>
      </c>
      <c r="C37" s="275">
        <v>301</v>
      </c>
      <c r="E37" s="561" t="s">
        <v>317</v>
      </c>
      <c r="F37" s="275">
        <v>2231</v>
      </c>
      <c r="H37" s="561" t="s">
        <v>317</v>
      </c>
      <c r="I37" s="275">
        <v>-4944</v>
      </c>
      <c r="K37" s="210" t="s">
        <v>330</v>
      </c>
      <c r="L37" s="305">
        <v>4889</v>
      </c>
      <c r="M37" s="305">
        <v>41603</v>
      </c>
      <c r="N37" s="309">
        <v>46492</v>
      </c>
      <c r="O37" s="310">
        <v>1040</v>
      </c>
    </row>
    <row r="38" spans="2:15" ht="16" thickBot="1" x14ac:dyDescent="0.25">
      <c r="B38" s="570" t="s">
        <v>318</v>
      </c>
      <c r="C38" s="571">
        <f>C36+C37</f>
        <v>773</v>
      </c>
      <c r="E38" s="570" t="s">
        <v>318</v>
      </c>
      <c r="F38" s="571">
        <f>F36+F37</f>
        <v>3434</v>
      </c>
      <c r="H38" s="570" t="s">
        <v>318</v>
      </c>
      <c r="I38" s="571">
        <f>I36+I37</f>
        <v>2838</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29E6-7C57-4E8F-AEC5-D5EF7623C765}">
  <dimension ref="B1:M22"/>
  <sheetViews>
    <sheetView showGridLines="0" zoomScaleNormal="100" workbookViewId="0"/>
  </sheetViews>
  <sheetFormatPr baseColWidth="10" defaultColWidth="15.5" defaultRowHeight="15" customHeight="1" x14ac:dyDescent="0.2"/>
  <cols>
    <col min="1" max="1" width="3.5" customWidth="1"/>
    <col min="2" max="2" width="25.5" customWidth="1"/>
    <col min="6" max="6" width="17.5" customWidth="1"/>
  </cols>
  <sheetData>
    <row r="1" spans="2:13" ht="15" customHeight="1" thickBot="1" x14ac:dyDescent="0.25"/>
    <row r="2" spans="2:13" ht="15" customHeight="1" x14ac:dyDescent="0.2">
      <c r="B2" s="268" t="s">
        <v>336</v>
      </c>
      <c r="C2" s="258"/>
      <c r="D2" s="259"/>
      <c r="E2" s="232"/>
      <c r="F2" s="232"/>
      <c r="G2" s="232"/>
      <c r="H2" s="232"/>
      <c r="I2" s="91" t="s">
        <v>337</v>
      </c>
      <c r="J2" s="91"/>
      <c r="K2" s="91"/>
      <c r="L2" s="91"/>
      <c r="M2" s="92"/>
    </row>
    <row r="3" spans="2:13" ht="15" customHeight="1" x14ac:dyDescent="0.2">
      <c r="B3" s="233" t="s">
        <v>338</v>
      </c>
      <c r="C3" s="205" t="s">
        <v>339</v>
      </c>
      <c r="D3" s="205" t="s">
        <v>340</v>
      </c>
      <c r="E3" s="205" t="s">
        <v>341</v>
      </c>
      <c r="F3" s="205" t="s">
        <v>342</v>
      </c>
      <c r="G3" s="205" t="s">
        <v>343</v>
      </c>
      <c r="H3" s="205" t="s">
        <v>344</v>
      </c>
      <c r="I3" s="260" t="s">
        <v>345</v>
      </c>
      <c r="J3" s="260" t="s">
        <v>346</v>
      </c>
      <c r="K3" s="260" t="s">
        <v>347</v>
      </c>
      <c r="L3" s="260" t="s">
        <v>348</v>
      </c>
      <c r="M3" s="261" t="s">
        <v>349</v>
      </c>
    </row>
    <row r="4" spans="2:13" ht="15" customHeight="1" x14ac:dyDescent="0.2">
      <c r="B4" s="136" t="s">
        <v>310</v>
      </c>
      <c r="C4" s="283" t="s">
        <v>324</v>
      </c>
      <c r="D4" s="286">
        <v>271.25</v>
      </c>
      <c r="E4" s="287">
        <v>2635</v>
      </c>
      <c r="F4" s="284">
        <f t="shared" ref="F4:F10" si="0">E4*D4</f>
        <v>714743.75</v>
      </c>
      <c r="G4" s="284">
        <f>LTMS!N31-LTMS!O31</f>
        <v>23787</v>
      </c>
      <c r="H4" s="285">
        <f>F4+LTMS!N31-LTMS!O31</f>
        <v>738530.75</v>
      </c>
      <c r="I4" s="289">
        <f>H4/LTMS!C7</f>
        <v>2.6865432884685339</v>
      </c>
      <c r="J4" s="289">
        <f>H4/LTMS!C10</f>
        <v>69.963125236832127</v>
      </c>
      <c r="K4" s="289">
        <f>H4/LTMS!C8</f>
        <v>94.914631795399046</v>
      </c>
      <c r="L4" s="289">
        <f>H4/LTMS!C12</f>
        <v>117.45081902035624</v>
      </c>
      <c r="M4" s="290">
        <f>D4/LTMS!M19</f>
        <v>12.229486023444545</v>
      </c>
    </row>
    <row r="5" spans="2:13" ht="15" customHeight="1" x14ac:dyDescent="0.2">
      <c r="B5" s="136" t="s">
        <v>350</v>
      </c>
      <c r="C5" s="283" t="s">
        <v>325</v>
      </c>
      <c r="D5" s="29">
        <v>304.33</v>
      </c>
      <c r="E5" s="139">
        <v>907</v>
      </c>
      <c r="F5" s="32">
        <f t="shared" si="0"/>
        <v>276027.31</v>
      </c>
      <c r="G5" s="32">
        <f>LTMS!N32-LTMS!O32</f>
        <v>53316</v>
      </c>
      <c r="H5" s="262">
        <f>F5+LTMS!N32-LTMS!O32</f>
        <v>329343.31</v>
      </c>
      <c r="I5" s="291">
        <f>H5/LTMS!I31</f>
        <v>4.3563929894179898</v>
      </c>
      <c r="J5" s="291">
        <f>H5/LTMS!I34</f>
        <v>24.660674653687757</v>
      </c>
      <c r="K5" s="291">
        <f>H5/LTMS!I32</f>
        <v>33.497081977217249</v>
      </c>
      <c r="L5" s="291">
        <f>H5/LTMS!I36</f>
        <v>42.32116551015163</v>
      </c>
      <c r="M5" s="292">
        <f>D5/LTMS!L20</f>
        <v>23.003023431594858</v>
      </c>
    </row>
    <row r="6" spans="2:13" ht="15" customHeight="1" x14ac:dyDescent="0.2">
      <c r="B6" s="136" t="s">
        <v>351</v>
      </c>
      <c r="C6" s="283" t="s">
        <v>327</v>
      </c>
      <c r="D6" s="29">
        <v>311.52999999999997</v>
      </c>
      <c r="E6" s="139">
        <v>220</v>
      </c>
      <c r="F6" s="32">
        <f t="shared" si="0"/>
        <v>68536.599999999991</v>
      </c>
      <c r="G6" s="32">
        <f>LTMS!N34-LTMS!O34</f>
        <v>21456</v>
      </c>
      <c r="H6" s="262">
        <f>F6+LTMS!N34-LTMS!O34</f>
        <v>89992.599999999991</v>
      </c>
      <c r="I6" s="291">
        <f>LTMS!F19/LTMS!F19</f>
        <v>1</v>
      </c>
      <c r="J6" s="291">
        <f>H6/LTMS!F22</f>
        <v>10.290748999428244</v>
      </c>
      <c r="K6" s="291">
        <f>H6/LTMS!I20</f>
        <v>19.311716738197422</v>
      </c>
      <c r="L6" s="291">
        <f>H6/LTMS!F24</f>
        <v>15.894136347580359</v>
      </c>
      <c r="M6" s="293">
        <f>D6/LTMS!L22</f>
        <v>12.323180379746834</v>
      </c>
    </row>
    <row r="7" spans="2:13" ht="15" customHeight="1" x14ac:dyDescent="0.2">
      <c r="B7" s="136" t="s">
        <v>352</v>
      </c>
      <c r="C7" s="283" t="s">
        <v>329</v>
      </c>
      <c r="D7" s="29">
        <v>79.33</v>
      </c>
      <c r="E7" s="139">
        <v>1272</v>
      </c>
      <c r="F7" s="32">
        <f t="shared" si="0"/>
        <v>100907.76</v>
      </c>
      <c r="G7" s="32">
        <f>LTMS!N36-LTMS!O36</f>
        <v>52049</v>
      </c>
      <c r="H7" s="262">
        <f>F7+LTMS!N36-LTMS!O36</f>
        <v>152956.76</v>
      </c>
      <c r="I7" s="291">
        <f>H7/LTMS!I19</f>
        <v>88.516643518518521</v>
      </c>
      <c r="J7" s="291">
        <f>H7/LTMS!I22</f>
        <v>16.507312756313404</v>
      </c>
      <c r="K7" s="291">
        <f>H7/LTMS!I20</f>
        <v>32.823339055793994</v>
      </c>
      <c r="L7" s="291">
        <f>H7/LTMS!I24</f>
        <v>88.516643518518521</v>
      </c>
      <c r="M7" s="293">
        <f>D7/LTMS!L24</f>
        <v>57.071942446043167</v>
      </c>
    </row>
    <row r="8" spans="2:13" ht="15" customHeight="1" x14ac:dyDescent="0.2">
      <c r="B8" s="136" t="s">
        <v>353</v>
      </c>
      <c r="C8" s="283" t="s">
        <v>326</v>
      </c>
      <c r="D8" s="29">
        <v>145.88</v>
      </c>
      <c r="E8" s="139">
        <v>51</v>
      </c>
      <c r="F8" s="32">
        <f t="shared" si="0"/>
        <v>7439.88</v>
      </c>
      <c r="G8" s="32">
        <f>LTMS!N33-LTMS!O33</f>
        <v>-482</v>
      </c>
      <c r="H8" s="262">
        <f>F8+G8</f>
        <v>6957.88</v>
      </c>
      <c r="I8" s="291">
        <f>H8/LTMS!C31</f>
        <v>0.15316955047770001</v>
      </c>
      <c r="J8" s="291">
        <f>H8/LTMS!C34</f>
        <v>7.128975409836066</v>
      </c>
      <c r="K8" s="291">
        <f>H8/LTMS!C32</f>
        <v>8.9089372599231762</v>
      </c>
      <c r="L8" s="291">
        <f>H8/LTMS!C36</f>
        <v>14.741271186440677</v>
      </c>
      <c r="M8" s="293">
        <f>D8/LTMS!M21</f>
        <v>14.825203252032519</v>
      </c>
    </row>
    <row r="9" spans="2:13" ht="15" customHeight="1" x14ac:dyDescent="0.2">
      <c r="B9" s="136" t="s">
        <v>354</v>
      </c>
      <c r="C9" s="283" t="s">
        <v>328</v>
      </c>
      <c r="D9" s="29">
        <v>192.15</v>
      </c>
      <c r="E9" s="139">
        <v>120</v>
      </c>
      <c r="F9" s="32">
        <f t="shared" si="0"/>
        <v>23058</v>
      </c>
      <c r="G9" s="32">
        <f>LTMS!N35-LTMS!O35</f>
        <v>11041</v>
      </c>
      <c r="H9" s="262">
        <f>F9+G9</f>
        <v>34099</v>
      </c>
      <c r="I9" s="291">
        <f>H9/LTMS!F31</f>
        <v>0.26297970138203358</v>
      </c>
      <c r="J9" s="291">
        <f>H9/LTMS!F34</f>
        <v>0.2609790445284636</v>
      </c>
      <c r="K9" s="291">
        <f>H9/LTMS!F32</f>
        <v>0.26238073253308708</v>
      </c>
      <c r="L9" s="291">
        <f>H9/LTMS!F36</f>
        <v>28.344970906068163</v>
      </c>
      <c r="M9" s="293">
        <f>D9/LTMS!M23</f>
        <v>19.527439024390244</v>
      </c>
    </row>
    <row r="10" spans="2:13" ht="15" customHeight="1" x14ac:dyDescent="0.2">
      <c r="B10" s="136" t="s">
        <v>355</v>
      </c>
      <c r="C10" s="288" t="s">
        <v>330</v>
      </c>
      <c r="D10" s="29">
        <v>495.47</v>
      </c>
      <c r="E10" s="139">
        <v>223</v>
      </c>
      <c r="F10" s="32">
        <f t="shared" si="0"/>
        <v>110489.81000000001</v>
      </c>
      <c r="G10" s="32">
        <f>LTMS!N37-LTMS!O37</f>
        <v>45452</v>
      </c>
      <c r="H10" s="262">
        <f>F10+G10</f>
        <v>155941.81</v>
      </c>
      <c r="I10" s="291">
        <f>H10/LTMS!I31</f>
        <v>2.0627223544973545</v>
      </c>
      <c r="J10" s="291">
        <f>H10/LTMS!I34</f>
        <v>11.676661175589667</v>
      </c>
      <c r="K10" s="291">
        <f>H10/LTMS!I32</f>
        <v>15.860639747762407</v>
      </c>
      <c r="L10" s="291">
        <f>H10/LTMS!I36</f>
        <v>20.038783089180161</v>
      </c>
      <c r="M10" s="293">
        <f>D10/LTMS!L25</f>
        <v>2.068768267223382</v>
      </c>
    </row>
    <row r="11" spans="2:13" ht="15" customHeight="1" x14ac:dyDescent="0.2">
      <c r="B11" s="263" t="s">
        <v>356</v>
      </c>
      <c r="C11" s="264"/>
      <c r="D11" s="264"/>
      <c r="E11" s="264"/>
      <c r="F11" s="264"/>
      <c r="G11" s="264"/>
      <c r="H11" s="264"/>
      <c r="I11" s="294">
        <f>MAX(I4:I10)</f>
        <v>88.516643518518521</v>
      </c>
      <c r="J11" s="294">
        <f>MAX(J4:J10)</f>
        <v>69.963125236832127</v>
      </c>
      <c r="K11" s="294">
        <f>MAX(K4:K10)</f>
        <v>94.914631795399046</v>
      </c>
      <c r="L11" s="294">
        <f>MAX(L4:L10)</f>
        <v>117.45081902035624</v>
      </c>
      <c r="M11" s="295">
        <f>MAX(M4:M10)</f>
        <v>57.071942446043167</v>
      </c>
    </row>
    <row r="12" spans="2:13" ht="15" customHeight="1" x14ac:dyDescent="0.2">
      <c r="B12" s="265" t="s">
        <v>357</v>
      </c>
      <c r="C12" s="74"/>
      <c r="D12" s="74"/>
      <c r="E12" s="74"/>
      <c r="F12" s="74"/>
      <c r="G12" s="74"/>
      <c r="H12" s="74"/>
      <c r="I12" s="296">
        <f>MIN(I4:I10)</f>
        <v>0.15316955047770001</v>
      </c>
      <c r="J12" s="296">
        <f>MIN(J4:J10)</f>
        <v>0.2609790445284636</v>
      </c>
      <c r="K12" s="296">
        <f>MIN(K4:K10)</f>
        <v>0.26238073253308708</v>
      </c>
      <c r="L12" s="296">
        <f>MIN(L4:L10)</f>
        <v>14.741271186440677</v>
      </c>
      <c r="M12" s="297">
        <f>MIN(M4:M10)</f>
        <v>2.068768267223382</v>
      </c>
    </row>
    <row r="13" spans="2:13" ht="15" customHeight="1" x14ac:dyDescent="0.2">
      <c r="B13" s="265" t="s">
        <v>358</v>
      </c>
      <c r="C13" s="74"/>
      <c r="D13" s="74"/>
      <c r="E13" s="74"/>
      <c r="F13" s="74"/>
      <c r="G13" s="74"/>
      <c r="H13" s="74"/>
      <c r="I13" s="296">
        <f>MEDIAN(I4:I10)</f>
        <v>2.0627223544973545</v>
      </c>
      <c r="J13" s="296">
        <f>MEDIAN(J4:J10)</f>
        <v>11.676661175589667</v>
      </c>
      <c r="K13" s="296">
        <f>MEDIAN(K4:K10)</f>
        <v>19.311716738197422</v>
      </c>
      <c r="L13" s="296">
        <f>MEDIAN(L4:L10)</f>
        <v>28.344970906068163</v>
      </c>
      <c r="M13" s="297">
        <f>MEDIAN(M4:M10)</f>
        <v>14.825203252032519</v>
      </c>
    </row>
    <row r="14" spans="2:13" ht="15" customHeight="1" thickBot="1" x14ac:dyDescent="0.25">
      <c r="B14" s="266" t="s">
        <v>359</v>
      </c>
      <c r="C14" s="267"/>
      <c r="D14" s="267"/>
      <c r="E14" s="267"/>
      <c r="F14" s="267"/>
      <c r="G14" s="267"/>
      <c r="H14" s="267"/>
      <c r="I14" s="298">
        <f>AVERAGE(I4:I10)</f>
        <v>14.14835020039459</v>
      </c>
      <c r="J14" s="298">
        <f>AVERAGE(J4:J10)</f>
        <v>20.069782468030816</v>
      </c>
      <c r="K14" s="298">
        <f>AVERAGE(K4:K10)</f>
        <v>29.368389615260902</v>
      </c>
      <c r="L14" s="298">
        <f>AVERAGE(L4:L10)</f>
        <v>46.758255654042259</v>
      </c>
      <c r="M14" s="299">
        <f>AVERAGE(M4:M10)</f>
        <v>20.149863260639364</v>
      </c>
    </row>
    <row r="21" spans="7:7" ht="15" customHeight="1" x14ac:dyDescent="0.2">
      <c r="G21">
        <v>271</v>
      </c>
    </row>
    <row r="22" spans="7:7" ht="15" customHeight="1" x14ac:dyDescent="0.2">
      <c r="G22">
        <v>22.18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EC4F-D51D-47C4-9A78-DB15E019DA1A}">
  <dimension ref="A2:Q41"/>
  <sheetViews>
    <sheetView showGridLines="0" zoomScale="70" workbookViewId="0"/>
  </sheetViews>
  <sheetFormatPr baseColWidth="10" defaultColWidth="15.5" defaultRowHeight="15" customHeight="1" x14ac:dyDescent="0.2"/>
  <cols>
    <col min="1" max="1" width="3.5" customWidth="1"/>
    <col min="2" max="2" width="22.5" bestFit="1" customWidth="1"/>
    <col min="3" max="3" width="13.6640625" customWidth="1"/>
    <col min="4" max="4" width="16.5" bestFit="1" customWidth="1"/>
    <col min="11" max="11" width="18.5" bestFit="1" customWidth="1"/>
    <col min="14" max="14" width="22.5" customWidth="1"/>
    <col min="15" max="15" width="20.5" bestFit="1" customWidth="1"/>
  </cols>
  <sheetData>
    <row r="2" spans="2:17" ht="15" customHeight="1" x14ac:dyDescent="0.2">
      <c r="O2" s="89"/>
      <c r="P2" s="337" t="s">
        <v>360</v>
      </c>
    </row>
    <row r="3" spans="2:17" ht="15" customHeight="1" x14ac:dyDescent="0.2">
      <c r="O3" s="336" t="s">
        <v>361</v>
      </c>
      <c r="P3" s="342">
        <f>Comps!D4</f>
        <v>271.25</v>
      </c>
    </row>
    <row r="4" spans="2:17" ht="15" customHeight="1" x14ac:dyDescent="0.2">
      <c r="B4" s="351" t="s">
        <v>362</v>
      </c>
      <c r="C4" s="360" t="s">
        <v>363</v>
      </c>
      <c r="D4" s="360" t="s">
        <v>10</v>
      </c>
      <c r="E4" s="346" t="s">
        <v>364</v>
      </c>
      <c r="F4" s="346" t="s">
        <v>365</v>
      </c>
      <c r="G4" s="346" t="s">
        <v>366</v>
      </c>
      <c r="H4" s="346" t="s">
        <v>367</v>
      </c>
      <c r="I4" s="346" t="s">
        <v>368</v>
      </c>
      <c r="J4" s="346" t="s">
        <v>369</v>
      </c>
      <c r="K4" s="346" t="s">
        <v>370</v>
      </c>
      <c r="L4" s="346" t="s">
        <v>371</v>
      </c>
      <c r="M4" s="347" t="s">
        <v>372</v>
      </c>
      <c r="O4" s="39" t="s">
        <v>341</v>
      </c>
      <c r="P4" s="43">
        <f>Comps!E4</f>
        <v>2635</v>
      </c>
    </row>
    <row r="5" spans="2:17" ht="15" customHeight="1" x14ac:dyDescent="0.2">
      <c r="B5" s="361">
        <f>J5+K5*L5</f>
        <v>5.4832000000000006E-2</v>
      </c>
      <c r="C5" s="533">
        <f>J5+1.11%</f>
        <v>5.389E-2</v>
      </c>
      <c r="D5" s="533">
        <f>(B5*H5)+(C5*(1-H5))</f>
        <v>5.4831632825539982E-2</v>
      </c>
      <c r="E5" s="362">
        <f>Assumptions!L47</f>
        <v>0.17</v>
      </c>
      <c r="F5" s="343">
        <f>LTMS!N31</f>
        <v>31463</v>
      </c>
      <c r="G5" s="542">
        <f>P5</f>
        <v>714743.75</v>
      </c>
      <c r="H5" s="438">
        <f>AVERAGE(C29:E29)</f>
        <v>0.99961021819530282</v>
      </c>
      <c r="I5" s="344">
        <f>SUM(F5:G5)</f>
        <v>746206.75</v>
      </c>
      <c r="J5" s="534">
        <v>4.2790000000000002E-2</v>
      </c>
      <c r="K5" s="345">
        <v>0.27</v>
      </c>
      <c r="L5" s="536">
        <v>4.4600000000000001E-2</v>
      </c>
      <c r="M5" s="535">
        <v>2.1000000000000001E-2</v>
      </c>
      <c r="O5" s="338" t="s">
        <v>373</v>
      </c>
      <c r="P5" s="363">
        <f>P3*P4</f>
        <v>714743.75</v>
      </c>
    </row>
    <row r="7" spans="2:17" ht="15" customHeight="1" x14ac:dyDescent="0.2">
      <c r="B7" s="370" t="s">
        <v>374</v>
      </c>
      <c r="C7" s="371"/>
      <c r="E7" s="435"/>
      <c r="F7" s="435"/>
      <c r="G7" s="435"/>
      <c r="H7" s="435"/>
      <c r="I7" s="435"/>
      <c r="J7" s="435"/>
    </row>
    <row r="8" spans="2:17" ht="15" customHeight="1" x14ac:dyDescent="0.2">
      <c r="B8" s="372" t="s">
        <v>375</v>
      </c>
      <c r="C8" s="373">
        <f>LTMS!C10</f>
        <v>10556</v>
      </c>
      <c r="F8" s="431"/>
      <c r="H8" s="30"/>
      <c r="J8" s="418"/>
    </row>
    <row r="9" spans="2:17" ht="15" customHeight="1" thickBot="1" x14ac:dyDescent="0.25">
      <c r="B9" s="39" t="s">
        <v>376</v>
      </c>
      <c r="C9" s="374">
        <f>Comps!K13</f>
        <v>19.311716738197422</v>
      </c>
      <c r="D9" s="413"/>
      <c r="F9" s="431"/>
      <c r="G9" s="432"/>
      <c r="H9" s="30"/>
      <c r="J9" s="433"/>
    </row>
    <row r="10" spans="2:17" ht="15" customHeight="1" thickBot="1" x14ac:dyDescent="0.25">
      <c r="B10" s="341" t="s">
        <v>377</v>
      </c>
      <c r="C10" s="375">
        <f>C8*C9</f>
        <v>203854.48188841197</v>
      </c>
      <c r="D10" s="412"/>
      <c r="E10" s="411"/>
      <c r="F10" s="434"/>
      <c r="G10" s="434"/>
      <c r="J10" s="30"/>
      <c r="N10" s="348" t="s">
        <v>378</v>
      </c>
      <c r="O10" s="358"/>
      <c r="P10" s="358" t="s">
        <v>185</v>
      </c>
      <c r="Q10" s="359" t="s">
        <v>379</v>
      </c>
    </row>
    <row r="11" spans="2:17" ht="15" customHeight="1" x14ac:dyDescent="0.2">
      <c r="C11" s="537"/>
      <c r="D11" s="412"/>
      <c r="F11" s="30"/>
      <c r="G11" s="30"/>
      <c r="J11" s="30"/>
      <c r="N11" s="19" t="s">
        <v>118</v>
      </c>
      <c r="P11" s="31">
        <f>'Debt Schedule'!F8</f>
        <v>0</v>
      </c>
      <c r="Q11" s="237">
        <v>1.2500000000000001E-2</v>
      </c>
    </row>
    <row r="12" spans="2:17" ht="15" customHeight="1" x14ac:dyDescent="0.2">
      <c r="D12" s="412"/>
      <c r="F12" s="30"/>
      <c r="G12" s="30"/>
      <c r="J12" s="30"/>
      <c r="N12" s="19" t="s">
        <v>122</v>
      </c>
      <c r="P12" s="31">
        <f>'Debt Schedule'!F34</f>
        <v>740.5</v>
      </c>
      <c r="Q12" s="237">
        <v>3.4000000000000002E-2</v>
      </c>
    </row>
    <row r="13" spans="2:17" ht="15" customHeight="1" x14ac:dyDescent="0.2">
      <c r="D13" s="414"/>
      <c r="N13" s="19" t="s">
        <v>380</v>
      </c>
      <c r="P13" s="31">
        <f>'Debt Schedule'!F42</f>
        <v>130</v>
      </c>
      <c r="Q13" s="237">
        <v>7.8750000000000001E-2</v>
      </c>
    </row>
    <row r="14" spans="2:17" ht="15" customHeight="1" x14ac:dyDescent="0.2">
      <c r="D14" s="412"/>
      <c r="F14" s="30"/>
      <c r="G14" s="30"/>
      <c r="N14" s="19" t="s">
        <v>124</v>
      </c>
      <c r="P14" s="31">
        <f>'Debt Schedule'!F50</f>
        <v>299.5</v>
      </c>
      <c r="Q14" s="237">
        <v>3.0499999999999999E-2</v>
      </c>
    </row>
    <row r="15" spans="2:17" ht="15" customHeight="1" x14ac:dyDescent="0.2">
      <c r="D15" s="412"/>
      <c r="E15" s="412"/>
      <c r="F15" s="412"/>
      <c r="N15" s="19" t="s">
        <v>125</v>
      </c>
      <c r="P15" s="31">
        <f>'Debt Schedule'!F58</f>
        <v>2528</v>
      </c>
      <c r="Q15" s="237">
        <v>4.3749999999999997E-2</v>
      </c>
    </row>
    <row r="16" spans="2:17" ht="15" customHeight="1" x14ac:dyDescent="0.2">
      <c r="N16" s="19" t="s">
        <v>126</v>
      </c>
      <c r="P16" s="31">
        <f>'Debt Schedule'!F66</f>
        <v>747</v>
      </c>
      <c r="Q16" s="237">
        <v>0.05</v>
      </c>
    </row>
    <row r="17" spans="1:17" ht="15" customHeight="1" x14ac:dyDescent="0.2">
      <c r="N17" s="19" t="s">
        <v>127</v>
      </c>
      <c r="P17" s="31">
        <f>'Debt Schedule'!F74</f>
        <v>1124.8</v>
      </c>
      <c r="Q17" s="237">
        <v>2.4E-2</v>
      </c>
    </row>
    <row r="18" spans="1:17" ht="15" customHeight="1" x14ac:dyDescent="0.2">
      <c r="N18" s="19" t="s">
        <v>128</v>
      </c>
      <c r="P18" s="31">
        <f>'Debt Schedule'!F82</f>
        <v>794.4</v>
      </c>
      <c r="Q18" s="237">
        <v>4.4999999999999998E-2</v>
      </c>
    </row>
    <row r="19" spans="1:17" ht="15" customHeight="1" x14ac:dyDescent="0.2">
      <c r="N19" s="19" t="s">
        <v>129</v>
      </c>
      <c r="P19" s="31">
        <f>'Debt Schedule'!F90</f>
        <v>1183.3333333333333</v>
      </c>
      <c r="Q19" s="237">
        <v>2.375E-2</v>
      </c>
    </row>
    <row r="20" spans="1:17" ht="15" customHeight="1" x14ac:dyDescent="0.2">
      <c r="N20" s="19" t="s">
        <v>130</v>
      </c>
      <c r="P20" s="31">
        <f>'Debt Schedule'!F98</f>
        <v>625</v>
      </c>
      <c r="Q20" s="237">
        <v>5.1249999999999997E-2</v>
      </c>
    </row>
    <row r="21" spans="1:17" ht="15" customHeight="1" x14ac:dyDescent="0.2">
      <c r="N21" s="19" t="s">
        <v>131</v>
      </c>
      <c r="P21" s="31">
        <f>'Debt Schedule'!F106</f>
        <v>1065.4285714285713</v>
      </c>
      <c r="Q21" s="237">
        <v>4.8750000000000002E-2</v>
      </c>
    </row>
    <row r="22" spans="1:17" ht="15" customHeight="1" x14ac:dyDescent="0.2">
      <c r="B22" s="349" t="s">
        <v>381</v>
      </c>
      <c r="C22" s="329">
        <v>2023</v>
      </c>
      <c r="D22" s="329">
        <v>2024</v>
      </c>
      <c r="E22" s="330">
        <v>2025</v>
      </c>
      <c r="N22" s="19" t="s">
        <v>132</v>
      </c>
      <c r="P22" s="31">
        <f>'Debt Schedule'!F114</f>
        <v>39.375</v>
      </c>
      <c r="Q22" s="237">
        <v>8.0799999999999997E-2</v>
      </c>
    </row>
    <row r="23" spans="1:17" ht="15" customHeight="1" x14ac:dyDescent="0.2">
      <c r="B23" s="39" t="s">
        <v>382</v>
      </c>
      <c r="C23" s="139">
        <v>296882</v>
      </c>
      <c r="D23" s="436">
        <v>283218</v>
      </c>
      <c r="E23" s="38">
        <v>268563</v>
      </c>
      <c r="N23" s="19" t="s">
        <v>133</v>
      </c>
      <c r="P23" s="31">
        <f>'Debt Schedule'!F122</f>
        <v>696.5</v>
      </c>
      <c r="Q23" s="237">
        <v>5.3999999999999999E-2</v>
      </c>
    </row>
    <row r="24" spans="1:17" ht="15" customHeight="1" x14ac:dyDescent="0.2">
      <c r="B24" s="39" t="s">
        <v>383</v>
      </c>
      <c r="C24" s="437">
        <v>299.45</v>
      </c>
      <c r="D24" s="437">
        <v>280.7</v>
      </c>
      <c r="E24" s="38">
        <v>279.12</v>
      </c>
      <c r="N24" s="19" t="s">
        <v>134</v>
      </c>
      <c r="P24" s="31">
        <f>'Debt Schedule'!F130</f>
        <v>1111.1111111111111</v>
      </c>
      <c r="Q24" s="237">
        <v>5.2499999999999998E-2</v>
      </c>
    </row>
    <row r="25" spans="1:17" ht="15" customHeight="1" x14ac:dyDescent="0.2">
      <c r="B25" s="39" t="s">
        <v>373</v>
      </c>
      <c r="C25" s="32">
        <f>C23*C24</f>
        <v>88901314.899999991</v>
      </c>
      <c r="D25" s="32">
        <f>D23*D24</f>
        <v>79499292.599999994</v>
      </c>
      <c r="E25" s="46">
        <f>E23*E24</f>
        <v>74961304.560000002</v>
      </c>
      <c r="N25" s="19" t="s">
        <v>135</v>
      </c>
      <c r="P25" s="31">
        <f>'Debt Schedule'!F138</f>
        <v>1352.7272727272727</v>
      </c>
      <c r="Q25" s="237">
        <v>5.2499999999999998E-2</v>
      </c>
    </row>
    <row r="26" spans="1:17" ht="15" customHeight="1" x14ac:dyDescent="0.2">
      <c r="B26" s="39" t="s">
        <v>365</v>
      </c>
      <c r="C26" s="32">
        <f>28155+2775</f>
        <v>30930</v>
      </c>
      <c r="D26">
        <f>3035+28937</f>
        <v>31972</v>
      </c>
      <c r="E26" s="46">
        <f>592+30871</f>
        <v>31463</v>
      </c>
      <c r="N26" s="19" t="s">
        <v>136</v>
      </c>
      <c r="P26" s="31">
        <f>'Debt Schedule'!F146</f>
        <v>172.72727272727272</v>
      </c>
      <c r="Q26" s="237">
        <v>6.1499999999999999E-2</v>
      </c>
    </row>
    <row r="27" spans="1:17" ht="15" customHeight="1" x14ac:dyDescent="0.2">
      <c r="B27" s="336" t="s">
        <v>384</v>
      </c>
      <c r="C27" s="32">
        <f>C26+C25</f>
        <v>88932244.899999991</v>
      </c>
      <c r="D27" s="32">
        <f>D26+D25</f>
        <v>79531264.599999994</v>
      </c>
      <c r="E27" s="46">
        <f>E26+E25</f>
        <v>74992767.560000002</v>
      </c>
      <c r="N27" s="19" t="s">
        <v>137</v>
      </c>
      <c r="P27" s="31">
        <f>'Debt Schedule'!F154</f>
        <v>2025.2307692307693</v>
      </c>
      <c r="Q27" s="237">
        <v>4.8000000000000001E-2</v>
      </c>
    </row>
    <row r="28" spans="1:17" ht="15" customHeight="1" x14ac:dyDescent="0.2">
      <c r="B28" s="39" t="s">
        <v>365</v>
      </c>
      <c r="C28" s="30">
        <f>C26/C27</f>
        <v>3.4779286224899966E-4</v>
      </c>
      <c r="D28" s="30">
        <f>D26/D27</f>
        <v>4.0200542718391534E-4</v>
      </c>
      <c r="E28" s="42">
        <f>E26/E27</f>
        <v>4.1954712465875021E-4</v>
      </c>
      <c r="N28" s="19" t="s">
        <v>138</v>
      </c>
      <c r="P28" s="31">
        <f>'Debt Schedule'!F162</f>
        <v>698.13333333333333</v>
      </c>
      <c r="Q28" s="237">
        <v>3.2000000000000001E-2</v>
      </c>
    </row>
    <row r="29" spans="1:17" ht="15" customHeight="1" x14ac:dyDescent="0.2">
      <c r="B29" s="328" t="s">
        <v>366</v>
      </c>
      <c r="C29" s="378">
        <f>1-C28</f>
        <v>0.99965220713775105</v>
      </c>
      <c r="D29" s="378">
        <f>1-D28</f>
        <v>0.99959799457281606</v>
      </c>
      <c r="E29" s="377">
        <f>1-E28</f>
        <v>0.99958045287534125</v>
      </c>
      <c r="N29" s="19" t="s">
        <v>139</v>
      </c>
      <c r="P29" s="31">
        <f>'Debt Schedule'!F170</f>
        <v>111.5625</v>
      </c>
      <c r="Q29" s="237">
        <v>5.8749999999999997E-2</v>
      </c>
    </row>
    <row r="30" spans="1:17" ht="15" customHeight="1" x14ac:dyDescent="0.2">
      <c r="N30" s="19" t="s">
        <v>140</v>
      </c>
      <c r="P30" s="31">
        <f>'Debt Schedule'!F178</f>
        <v>453.75</v>
      </c>
      <c r="Q30" s="237">
        <v>6.1249999999999999E-2</v>
      </c>
    </row>
    <row r="31" spans="1:17" ht="15" customHeight="1" x14ac:dyDescent="0.2">
      <c r="A31" s="412"/>
      <c r="B31" s="412"/>
      <c r="C31" s="412"/>
      <c r="D31" s="412"/>
      <c r="N31" s="19" t="s">
        <v>141</v>
      </c>
      <c r="P31" s="31">
        <f>'Debt Schedule'!F186</f>
        <v>296.47058823529414</v>
      </c>
      <c r="Q31" s="237">
        <v>5.3749999999999999E-2</v>
      </c>
    </row>
    <row r="32" spans="1:17" ht="15" customHeight="1" x14ac:dyDescent="0.2">
      <c r="A32" s="412"/>
      <c r="B32" s="423"/>
      <c r="C32" s="423"/>
      <c r="D32" s="412"/>
      <c r="N32" s="19" t="s">
        <v>142</v>
      </c>
      <c r="P32" s="31">
        <f>'Debt Schedule'!F194</f>
        <v>1399.047619047619</v>
      </c>
      <c r="Q32" s="237">
        <v>4.8000000000000001E-2</v>
      </c>
    </row>
    <row r="33" spans="1:17" ht="15" customHeight="1" x14ac:dyDescent="0.2">
      <c r="A33" s="412"/>
      <c r="B33" s="412"/>
      <c r="C33" s="424"/>
      <c r="D33" s="412"/>
      <c r="N33" s="19" t="s">
        <v>143</v>
      </c>
      <c r="P33" s="31">
        <f>'Debt Schedule'!F202</f>
        <v>945</v>
      </c>
      <c r="Q33" s="237">
        <v>3.875E-2</v>
      </c>
    </row>
    <row r="34" spans="1:17" ht="15" customHeight="1" x14ac:dyDescent="0.2">
      <c r="A34" s="412"/>
      <c r="B34" s="412"/>
      <c r="C34" s="425"/>
      <c r="D34" s="412"/>
      <c r="N34" s="19" t="s">
        <v>144</v>
      </c>
      <c r="P34" s="31">
        <f>'Debt Schedule'!F210</f>
        <v>2842.782608695652</v>
      </c>
      <c r="Q34" s="237">
        <v>4.9000000000000002E-2</v>
      </c>
    </row>
    <row r="35" spans="1:17" ht="15" customHeight="1" x14ac:dyDescent="0.2">
      <c r="A35" s="412"/>
      <c r="B35" s="412"/>
      <c r="C35" s="426"/>
      <c r="D35" s="412"/>
      <c r="N35" s="19" t="s">
        <v>145</v>
      </c>
      <c r="P35" s="31">
        <f>'Debt Schedule'!F218</f>
        <v>1125.1199999999999</v>
      </c>
      <c r="Q35" s="237">
        <v>3.4000000000000002E-2</v>
      </c>
    </row>
    <row r="36" spans="1:17" ht="15" customHeight="1" x14ac:dyDescent="0.2">
      <c r="A36" s="412"/>
      <c r="B36" s="412"/>
      <c r="C36" s="424"/>
      <c r="D36" s="412"/>
      <c r="N36" s="19" t="s">
        <v>146</v>
      </c>
      <c r="P36" s="31">
        <f>'Debt Schedule'!F226</f>
        <v>1355.7692307692307</v>
      </c>
      <c r="Q36" s="237">
        <v>3.4000000000000002E-2</v>
      </c>
    </row>
    <row r="37" spans="1:17" ht="15" customHeight="1" x14ac:dyDescent="0.2">
      <c r="A37" s="412"/>
      <c r="B37" s="412"/>
      <c r="C37" s="427"/>
      <c r="D37" s="412"/>
      <c r="N37" s="19" t="s">
        <v>147</v>
      </c>
      <c r="P37" s="31">
        <f>'Debt Schedule'!F234</f>
        <v>1434.7586206896551</v>
      </c>
      <c r="Q37" s="237">
        <v>5.6000000000000001E-2</v>
      </c>
    </row>
    <row r="38" spans="1:17" ht="15" customHeight="1" x14ac:dyDescent="0.2">
      <c r="A38" s="412"/>
      <c r="B38" s="412"/>
      <c r="C38" s="424"/>
      <c r="D38" s="412"/>
      <c r="N38" s="19" t="s">
        <v>148</v>
      </c>
      <c r="P38" s="31">
        <f>'Debt Schedule'!F242</f>
        <v>711.29032258064512</v>
      </c>
      <c r="Q38" s="237">
        <v>0.06</v>
      </c>
    </row>
    <row r="39" spans="1:17" ht="15" customHeight="1" x14ac:dyDescent="0.2">
      <c r="A39" s="412"/>
      <c r="B39" s="412"/>
      <c r="C39" s="428"/>
      <c r="D39" s="412"/>
      <c r="N39" s="19" t="s">
        <v>119</v>
      </c>
      <c r="P39" s="31">
        <f>'Debt Schedule'!F254</f>
        <v>65</v>
      </c>
      <c r="Q39" s="237"/>
    </row>
    <row r="40" spans="1:17" ht="15" customHeight="1" thickBot="1" x14ac:dyDescent="0.25">
      <c r="A40" s="412"/>
      <c r="B40" s="429"/>
      <c r="C40" s="430"/>
      <c r="D40" s="412"/>
      <c r="N40" s="19" t="s">
        <v>119</v>
      </c>
      <c r="P40" s="31">
        <f>'Debt Schedule'!F16</f>
        <v>41</v>
      </c>
      <c r="Q40" s="237"/>
    </row>
    <row r="41" spans="1:17" ht="15" customHeight="1" thickBot="1" x14ac:dyDescent="0.25">
      <c r="A41" s="412"/>
      <c r="B41" s="412"/>
      <c r="C41" s="412"/>
      <c r="D41" s="412"/>
      <c r="N41" s="354" t="s">
        <v>301</v>
      </c>
      <c r="O41" s="355"/>
      <c r="P41" s="356">
        <f>SUM(P11:P39)</f>
        <v>26074.318153909757</v>
      </c>
      <c r="Q41" s="357">
        <f>SUMPRODUCT(P11:P38,Q11:Q38)/P41</f>
        <v>4.4808876175933161E-2</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9CB7-F3C4-4456-AD55-CAEB65B6FB12}">
  <dimension ref="B2:AK52"/>
  <sheetViews>
    <sheetView showGridLines="0" zoomScale="60" zoomScaleNormal="70" workbookViewId="0"/>
  </sheetViews>
  <sheetFormatPr baseColWidth="10" defaultColWidth="15.5" defaultRowHeight="15" customHeight="1" x14ac:dyDescent="0.2"/>
  <cols>
    <col min="1" max="1" width="3.5" customWidth="1"/>
    <col min="2" max="2" width="50.5" customWidth="1"/>
    <col min="5" max="5" width="15.6640625" customWidth="1"/>
    <col min="9" max="9" width="18.5" bestFit="1" customWidth="1"/>
    <col min="15" max="15" width="34.5" bestFit="1" customWidth="1"/>
    <col min="16" max="16" width="22.5" bestFit="1" customWidth="1"/>
    <col min="27" max="27" width="25.5" bestFit="1" customWidth="1"/>
  </cols>
  <sheetData>
    <row r="2" spans="2:37" s="315" customFormat="1" ht="15" customHeight="1" x14ac:dyDescent="0.2">
      <c r="B2" s="380" t="s">
        <v>385</v>
      </c>
      <c r="C2" s="381" t="s">
        <v>12</v>
      </c>
      <c r="D2" s="381"/>
      <c r="E2" s="381"/>
      <c r="F2" s="381"/>
      <c r="G2" s="381"/>
      <c r="H2" s="381" t="s">
        <v>14</v>
      </c>
      <c r="I2" s="86"/>
      <c r="J2" s="86"/>
      <c r="K2" s="86"/>
      <c r="L2" s="87"/>
      <c r="M2" s="548"/>
      <c r="O2" s="387"/>
      <c r="P2" s="381" t="s">
        <v>12</v>
      </c>
      <c r="Q2" s="381"/>
      <c r="R2" s="381"/>
      <c r="S2" s="381"/>
      <c r="T2" s="381"/>
      <c r="U2" s="381" t="s">
        <v>14</v>
      </c>
      <c r="V2" s="86"/>
      <c r="W2" s="86"/>
      <c r="X2" s="86"/>
      <c r="Y2" s="87"/>
      <c r="AA2"/>
    </row>
    <row r="3" spans="2:37" s="315" customFormat="1" ht="15" customHeight="1" x14ac:dyDescent="0.2">
      <c r="B3" s="388" t="s">
        <v>386</v>
      </c>
      <c r="C3" s="389">
        <v>2021</v>
      </c>
      <c r="D3" s="389">
        <f t="shared" ref="D3:L3" si="0">C3+1</f>
        <v>2022</v>
      </c>
      <c r="E3" s="389">
        <f t="shared" si="0"/>
        <v>2023</v>
      </c>
      <c r="F3" s="389">
        <f t="shared" si="0"/>
        <v>2024</v>
      </c>
      <c r="G3" s="389">
        <f t="shared" si="0"/>
        <v>2025</v>
      </c>
      <c r="H3" s="390">
        <f t="shared" si="0"/>
        <v>2026</v>
      </c>
      <c r="I3" s="390">
        <f t="shared" si="0"/>
        <v>2027</v>
      </c>
      <c r="J3" s="390">
        <f t="shared" si="0"/>
        <v>2028</v>
      </c>
      <c r="K3" s="390">
        <f t="shared" si="0"/>
        <v>2029</v>
      </c>
      <c r="L3" s="391">
        <f t="shared" si="0"/>
        <v>2030</v>
      </c>
      <c r="M3" s="549"/>
      <c r="N3" s="367"/>
      <c r="O3" s="440"/>
      <c r="P3" s="389">
        <v>2021</v>
      </c>
      <c r="Q3" s="389">
        <v>2022</v>
      </c>
      <c r="R3" s="389">
        <v>2023</v>
      </c>
      <c r="S3" s="389">
        <v>2024</v>
      </c>
      <c r="T3" s="389">
        <v>2025</v>
      </c>
      <c r="U3" s="390">
        <v>2026</v>
      </c>
      <c r="V3" s="390">
        <v>2027</v>
      </c>
      <c r="W3" s="390">
        <v>2028</v>
      </c>
      <c r="X3" s="390">
        <v>2029</v>
      </c>
      <c r="Y3" s="391">
        <v>2030</v>
      </c>
      <c r="AA3"/>
    </row>
    <row r="4" spans="2:37" ht="15" customHeight="1" x14ac:dyDescent="0.2">
      <c r="B4" s="336" t="s">
        <v>387</v>
      </c>
      <c r="C4" s="31">
        <f>'Income Statement'!C38</f>
        <v>174078</v>
      </c>
      <c r="D4" s="31">
        <f>'Income Statement'!D38</f>
        <v>180516</v>
      </c>
      <c r="E4" s="31">
        <f>'Income Statement'!E38</f>
        <v>195265</v>
      </c>
      <c r="F4" s="31">
        <f>'Income Statement'!F38</f>
        <v>247121</v>
      </c>
      <c r="G4" s="31">
        <f>'Income Statement'!G38</f>
        <v>274900</v>
      </c>
      <c r="H4" s="31">
        <f>'Income Statement'!H38</f>
        <v>308629.2756517274</v>
      </c>
      <c r="I4" s="31">
        <f>'Income Statement'!I38</f>
        <v>342575.0032872493</v>
      </c>
      <c r="J4" s="31">
        <f>'Income Statement'!J38</f>
        <v>373665.57176275802</v>
      </c>
      <c r="K4" s="31">
        <f>'Income Statement'!K38</f>
        <v>404184.61696625489</v>
      </c>
      <c r="L4" s="43">
        <f>'Income Statement'!L38</f>
        <v>437827.19969143602</v>
      </c>
      <c r="M4" s="31"/>
      <c r="O4" s="336" t="s">
        <v>387</v>
      </c>
      <c r="P4" s="31">
        <v>174078</v>
      </c>
      <c r="Q4" s="31">
        <v>180516</v>
      </c>
      <c r="R4" s="31">
        <v>195265</v>
      </c>
      <c r="S4" s="31">
        <v>247121</v>
      </c>
      <c r="T4" s="31">
        <v>274900</v>
      </c>
      <c r="U4" s="31">
        <v>313231.79365172744</v>
      </c>
      <c r="V4" s="31">
        <v>350806.38213724934</v>
      </c>
      <c r="W4" s="31">
        <v>385853.43823589809</v>
      </c>
      <c r="X4" s="31">
        <v>420159.0157602909</v>
      </c>
      <c r="Y4" s="43">
        <v>459026.69700291264</v>
      </c>
    </row>
    <row r="5" spans="2:37" ht="15" customHeight="1" x14ac:dyDescent="0.2">
      <c r="B5" s="41" t="s">
        <v>45</v>
      </c>
      <c r="C5" s="31">
        <f>'Income Statement'!C40</f>
        <v>117553</v>
      </c>
      <c r="D5" s="31">
        <f>'Income Statement'!D40</f>
        <v>124834</v>
      </c>
      <c r="E5" s="31">
        <f>'Income Statement'!E40</f>
        <v>133801</v>
      </c>
      <c r="F5" s="31">
        <f>'Income Statement'!F40</f>
        <v>182509</v>
      </c>
      <c r="G5" s="31">
        <f>'Income Statement'!G40</f>
        <v>214991</v>
      </c>
      <c r="H5" s="31">
        <f>'Income Statement'!H40</f>
        <v>237644.54225183011</v>
      </c>
      <c r="I5" s="31">
        <f>'Income Statement'!I40</f>
        <v>260357.00249830948</v>
      </c>
      <c r="J5" s="31">
        <f>'Income Statement'!J40</f>
        <v>280249.1788220685</v>
      </c>
      <c r="K5" s="31">
        <f>'Income Statement'!K40</f>
        <v>299096.6165550286</v>
      </c>
      <c r="L5" s="43">
        <f>'Income Statement'!L40</f>
        <v>319613.85577474831</v>
      </c>
      <c r="M5" s="31"/>
      <c r="O5" s="41" t="s">
        <v>45</v>
      </c>
      <c r="P5" s="31">
        <v>117553</v>
      </c>
      <c r="Q5" s="31">
        <v>124834</v>
      </c>
      <c r="R5" s="31">
        <v>133801</v>
      </c>
      <c r="S5" s="31">
        <v>182509</v>
      </c>
      <c r="T5" s="31">
        <v>214991</v>
      </c>
      <c r="U5" s="31">
        <v>234923.84523879556</v>
      </c>
      <c r="V5" s="31">
        <v>257842.69087087826</v>
      </c>
      <c r="W5" s="31">
        <v>279743.74272102612</v>
      </c>
      <c r="X5" s="31">
        <v>302514.49134740944</v>
      </c>
      <c r="Y5" s="43">
        <v>328204.08835708251</v>
      </c>
    </row>
    <row r="6" spans="2:37" ht="15" customHeight="1" x14ac:dyDescent="0.2">
      <c r="B6" s="336" t="s">
        <v>388</v>
      </c>
      <c r="C6" s="32">
        <f t="shared" ref="C6:L6" si="1">C4-C5</f>
        <v>56525</v>
      </c>
      <c r="D6" s="32">
        <f t="shared" si="1"/>
        <v>55682</v>
      </c>
      <c r="E6" s="32">
        <f t="shared" si="1"/>
        <v>61464</v>
      </c>
      <c r="F6" s="32">
        <f t="shared" si="1"/>
        <v>64612</v>
      </c>
      <c r="G6" s="32">
        <f t="shared" si="1"/>
        <v>59909</v>
      </c>
      <c r="H6" s="32">
        <f t="shared" si="1"/>
        <v>70984.73339989729</v>
      </c>
      <c r="I6" s="32">
        <f t="shared" si="1"/>
        <v>82218.000788939826</v>
      </c>
      <c r="J6" s="32">
        <f t="shared" si="1"/>
        <v>93416.392940689519</v>
      </c>
      <c r="K6" s="32">
        <f t="shared" si="1"/>
        <v>105088.0004112263</v>
      </c>
      <c r="L6" s="46">
        <f t="shared" si="1"/>
        <v>118213.34391668771</v>
      </c>
      <c r="M6" s="32"/>
      <c r="O6" s="336" t="s">
        <v>388</v>
      </c>
      <c r="P6" s="32">
        <v>56525</v>
      </c>
      <c r="Q6" s="32">
        <v>55682</v>
      </c>
      <c r="R6" s="32">
        <v>61464</v>
      </c>
      <c r="S6" s="32">
        <v>64612</v>
      </c>
      <c r="T6" s="32">
        <v>59909</v>
      </c>
      <c r="U6" s="32">
        <v>78307.948412931873</v>
      </c>
      <c r="V6" s="32">
        <v>92963.691266371083</v>
      </c>
      <c r="W6" s="32">
        <v>106109.69551487197</v>
      </c>
      <c r="X6" s="32">
        <v>117644.52441288147</v>
      </c>
      <c r="Y6" s="46">
        <v>130822.60864583013</v>
      </c>
    </row>
    <row r="7" spans="2:37" ht="15" customHeight="1" x14ac:dyDescent="0.2">
      <c r="B7" s="382" t="s">
        <v>389</v>
      </c>
      <c r="C7" s="369">
        <f>SUM('Income Statement'!C41:C43)</f>
        <v>48590</v>
      </c>
      <c r="D7" s="369">
        <f>SUM('Income Statement'!D41:D43)</f>
        <v>47268</v>
      </c>
      <c r="E7" s="369">
        <f>SUM('Income Statement'!E41:E43)</f>
        <v>52928</v>
      </c>
      <c r="F7" s="369">
        <f>SUM('Income Statement'!F41:F43)</f>
        <v>55195</v>
      </c>
      <c r="G7" s="369">
        <f>SUM('Income Statement'!G41:G43)</f>
        <v>50709</v>
      </c>
      <c r="H7" s="369">
        <f>SUM('Income Statement'!H41:H43)</f>
        <v>63639.356639386198</v>
      </c>
      <c r="I7" s="369">
        <f>SUM('Income Statement'!I41:I43)</f>
        <v>71598.175687035109</v>
      </c>
      <c r="J7" s="369">
        <f>SUM('Income Statement'!J41:J43)</f>
        <v>73911.050094673541</v>
      </c>
      <c r="K7" s="369">
        <f>SUM('Income Statement'!K41:K43)</f>
        <v>72591.557207139384</v>
      </c>
      <c r="L7" s="383">
        <f>SUM('Income Statement'!L41:L43)</f>
        <v>81698.555462421966</v>
      </c>
      <c r="M7" s="369"/>
      <c r="O7" s="382" t="s">
        <v>389</v>
      </c>
      <c r="P7" s="369">
        <v>48590</v>
      </c>
      <c r="Q7" s="369">
        <v>47268</v>
      </c>
      <c r="R7" s="369">
        <v>52928</v>
      </c>
      <c r="S7" s="369">
        <v>55195</v>
      </c>
      <c r="T7" s="369">
        <v>50709</v>
      </c>
      <c r="U7" s="369">
        <v>56914.216906518872</v>
      </c>
      <c r="V7" s="369">
        <v>62443.536020430372</v>
      </c>
      <c r="W7" s="369">
        <v>67254.254284517039</v>
      </c>
      <c r="X7" s="369">
        <v>72099.287104465926</v>
      </c>
      <c r="Y7" s="383">
        <v>78768.98120569982</v>
      </c>
    </row>
    <row r="8" spans="2:37" ht="15" customHeight="1" x14ac:dyDescent="0.2">
      <c r="B8" s="341" t="s">
        <v>390</v>
      </c>
      <c r="C8" s="384">
        <f t="shared" ref="C8:L8" si="2">C6-C7</f>
        <v>7935</v>
      </c>
      <c r="D8" s="384">
        <f t="shared" si="2"/>
        <v>8414</v>
      </c>
      <c r="E8" s="384">
        <f t="shared" si="2"/>
        <v>8536</v>
      </c>
      <c r="F8" s="384">
        <f t="shared" si="2"/>
        <v>9417</v>
      </c>
      <c r="G8" s="384">
        <f>G6-G7</f>
        <v>9200</v>
      </c>
      <c r="H8" s="384">
        <f>H6-H7</f>
        <v>7345.3767605110916</v>
      </c>
      <c r="I8" s="384">
        <f t="shared" si="2"/>
        <v>10619.825101904717</v>
      </c>
      <c r="J8" s="384">
        <f t="shared" si="2"/>
        <v>19505.342846015978</v>
      </c>
      <c r="K8" s="384">
        <f t="shared" si="2"/>
        <v>32496.443204086914</v>
      </c>
      <c r="L8" s="385">
        <f t="shared" si="2"/>
        <v>36514.788454265741</v>
      </c>
      <c r="M8" s="550"/>
      <c r="O8" s="341" t="s">
        <v>390</v>
      </c>
      <c r="P8" s="384">
        <v>7935</v>
      </c>
      <c r="Q8" s="384">
        <v>8414</v>
      </c>
      <c r="R8" s="384">
        <v>8536</v>
      </c>
      <c r="S8" s="384">
        <v>9417</v>
      </c>
      <c r="T8" s="384">
        <v>9200</v>
      </c>
      <c r="U8" s="384">
        <v>21393.731506413002</v>
      </c>
      <c r="V8" s="384">
        <v>30520.15524594071</v>
      </c>
      <c r="W8" s="384">
        <v>38855.441230354932</v>
      </c>
      <c r="X8" s="384">
        <v>45545.237308415541</v>
      </c>
      <c r="Y8" s="385">
        <v>52053.627440130309</v>
      </c>
    </row>
    <row r="9" spans="2:37" ht="15" customHeight="1" x14ac:dyDescent="0.2">
      <c r="B9" s="368"/>
      <c r="C9" s="366"/>
      <c r="D9" s="365"/>
      <c r="E9" s="365"/>
      <c r="F9" s="365"/>
      <c r="G9" s="365"/>
      <c r="H9" s="365"/>
    </row>
    <row r="10" spans="2:37" ht="15" customHeight="1" x14ac:dyDescent="0.2">
      <c r="B10" s="349" t="s">
        <v>391</v>
      </c>
      <c r="C10" s="392">
        <v>2021</v>
      </c>
      <c r="D10" s="392">
        <f t="shared" ref="D10:L10" si="3">C10+1</f>
        <v>2022</v>
      </c>
      <c r="E10" s="392">
        <f t="shared" si="3"/>
        <v>2023</v>
      </c>
      <c r="F10" s="392">
        <f t="shared" si="3"/>
        <v>2024</v>
      </c>
      <c r="G10" s="392">
        <f t="shared" si="3"/>
        <v>2025</v>
      </c>
      <c r="H10" s="393">
        <f t="shared" si="3"/>
        <v>2026</v>
      </c>
      <c r="I10" s="393">
        <f t="shared" si="3"/>
        <v>2027</v>
      </c>
      <c r="J10" s="393">
        <f t="shared" si="3"/>
        <v>2028</v>
      </c>
      <c r="K10" s="393">
        <f t="shared" si="3"/>
        <v>2029</v>
      </c>
      <c r="L10" s="394">
        <f t="shared" si="3"/>
        <v>2030</v>
      </c>
      <c r="M10" s="549"/>
      <c r="O10" s="349" t="s">
        <v>391</v>
      </c>
      <c r="P10" s="392">
        <v>2021</v>
      </c>
      <c r="Q10" s="392">
        <f t="shared" ref="Q10:Y10" si="4">P10+1</f>
        <v>2022</v>
      </c>
      <c r="R10" s="392">
        <f t="shared" si="4"/>
        <v>2023</v>
      </c>
      <c r="S10" s="392">
        <f t="shared" si="4"/>
        <v>2024</v>
      </c>
      <c r="T10" s="392">
        <f t="shared" si="4"/>
        <v>2025</v>
      </c>
      <c r="U10" s="393">
        <f t="shared" si="4"/>
        <v>2026</v>
      </c>
      <c r="V10" s="393">
        <f t="shared" si="4"/>
        <v>2027</v>
      </c>
      <c r="W10" s="393">
        <f t="shared" si="4"/>
        <v>2028</v>
      </c>
      <c r="X10" s="393">
        <f t="shared" si="4"/>
        <v>2029</v>
      </c>
      <c r="Y10" s="394">
        <f t="shared" si="4"/>
        <v>2030</v>
      </c>
      <c r="AA10" s="410" t="s">
        <v>392</v>
      </c>
      <c r="AB10" s="583">
        <v>2021</v>
      </c>
      <c r="AC10" s="583">
        <v>2022</v>
      </c>
      <c r="AD10" s="583">
        <v>2023</v>
      </c>
      <c r="AE10" s="583">
        <v>2024</v>
      </c>
      <c r="AF10" s="583">
        <v>2025</v>
      </c>
      <c r="AG10" s="584">
        <v>2026</v>
      </c>
      <c r="AH10" s="584">
        <v>2027</v>
      </c>
      <c r="AI10" s="584">
        <v>2028</v>
      </c>
      <c r="AJ10" s="584">
        <v>2029</v>
      </c>
      <c r="AK10" s="585">
        <v>2030</v>
      </c>
    </row>
    <row r="11" spans="2:37" ht="15" customHeight="1" x14ac:dyDescent="0.2">
      <c r="B11" s="324" t="s">
        <v>390</v>
      </c>
      <c r="C11" s="31">
        <f t="shared" ref="C11:L11" si="5">C8</f>
        <v>7935</v>
      </c>
      <c r="D11" s="31">
        <f t="shared" si="5"/>
        <v>8414</v>
      </c>
      <c r="E11" s="31">
        <f t="shared" si="5"/>
        <v>8536</v>
      </c>
      <c r="F11" s="31">
        <f t="shared" si="5"/>
        <v>9417</v>
      </c>
      <c r="G11" s="31">
        <f t="shared" si="5"/>
        <v>9200</v>
      </c>
      <c r="H11" s="31">
        <f t="shared" si="5"/>
        <v>7345.3767605110916</v>
      </c>
      <c r="I11" s="31">
        <f t="shared" si="5"/>
        <v>10619.825101904717</v>
      </c>
      <c r="J11" s="31">
        <f t="shared" si="5"/>
        <v>19505.342846015978</v>
      </c>
      <c r="K11" s="31">
        <f t="shared" si="5"/>
        <v>32496.443204086914</v>
      </c>
      <c r="L11" s="43">
        <f t="shared" si="5"/>
        <v>36514.788454265741</v>
      </c>
      <c r="M11" s="31"/>
      <c r="O11" s="324" t="s">
        <v>390</v>
      </c>
      <c r="P11" s="31">
        <f t="shared" ref="P11:Y11" si="6">P8</f>
        <v>7935</v>
      </c>
      <c r="Q11" s="31">
        <f t="shared" si="6"/>
        <v>8414</v>
      </c>
      <c r="R11" s="31">
        <f t="shared" si="6"/>
        <v>8536</v>
      </c>
      <c r="S11" s="31">
        <f t="shared" si="6"/>
        <v>9417</v>
      </c>
      <c r="T11" s="31">
        <f t="shared" si="6"/>
        <v>9200</v>
      </c>
      <c r="U11" s="31">
        <f t="shared" si="6"/>
        <v>21393.731506413002</v>
      </c>
      <c r="V11" s="31">
        <f t="shared" si="6"/>
        <v>30520.15524594071</v>
      </c>
      <c r="W11" s="31">
        <f t="shared" si="6"/>
        <v>38855.441230354932</v>
      </c>
      <c r="X11" s="31">
        <f t="shared" si="6"/>
        <v>45545.237308415541</v>
      </c>
      <c r="Y11" s="43">
        <f t="shared" si="6"/>
        <v>52053.627440130309</v>
      </c>
      <c r="AA11" s="586" t="s">
        <v>390</v>
      </c>
      <c r="AB11" s="587">
        <v>7935</v>
      </c>
      <c r="AC11" s="587">
        <v>8414</v>
      </c>
      <c r="AD11" s="587">
        <v>8536</v>
      </c>
      <c r="AE11" s="587">
        <v>9417</v>
      </c>
      <c r="AF11" s="587">
        <v>9200</v>
      </c>
      <c r="AG11" s="587">
        <v>21393.731506413002</v>
      </c>
      <c r="AH11" s="587">
        <v>30520.15524594071</v>
      </c>
      <c r="AI11" s="587">
        <v>38855.441230354932</v>
      </c>
      <c r="AJ11" s="587">
        <v>45545.237308415541</v>
      </c>
      <c r="AK11" s="588">
        <v>52053.627440130309</v>
      </c>
    </row>
    <row r="12" spans="2:37" ht="15" customHeight="1" x14ac:dyDescent="0.2">
      <c r="B12" s="39" t="s">
        <v>393</v>
      </c>
      <c r="C12" s="31">
        <f>'Income Statement'!C51</f>
        <v>1367</v>
      </c>
      <c r="D12" s="31">
        <f>'Income Statement'!D51</f>
        <v>1607</v>
      </c>
      <c r="E12" s="31">
        <f>'Income Statement'!E51</f>
        <v>141</v>
      </c>
      <c r="F12" s="31">
        <f>'Income Statement'!F51</f>
        <v>1491</v>
      </c>
      <c r="G12" s="31">
        <f>'Income Statement'!G51</f>
        <v>1493</v>
      </c>
      <c r="H12" s="31">
        <f ca="1">'Income Statement'!H51</f>
        <v>864.89451673295321</v>
      </c>
      <c r="I12" s="31">
        <f ca="1">'Income Statement'!I51</f>
        <v>1864.2436999357265</v>
      </c>
      <c r="J12" s="31">
        <f ca="1">'Income Statement'!J51</f>
        <v>3318.9892530771681</v>
      </c>
      <c r="K12" s="31">
        <f ca="1">'Income Statement'!K51</f>
        <v>5488.9765416084801</v>
      </c>
      <c r="L12" s="43">
        <f ca="1">'Income Statement'!L51</f>
        <v>6140.8927759162716</v>
      </c>
      <c r="M12" s="31"/>
      <c r="O12" s="39" t="s">
        <v>393</v>
      </c>
      <c r="P12" s="577">
        <f>1-WACC!$E5</f>
        <v>0.83</v>
      </c>
      <c r="Q12" s="577">
        <f>1-WACC!$E5</f>
        <v>0.83</v>
      </c>
      <c r="R12" s="577">
        <f>1-WACC!$E5</f>
        <v>0.83</v>
      </c>
      <c r="S12" s="577">
        <f>1-WACC!$E5</f>
        <v>0.83</v>
      </c>
      <c r="T12" s="577">
        <f>1-WACC!$E5</f>
        <v>0.83</v>
      </c>
      <c r="U12" s="577">
        <f>1-WACC!$E5</f>
        <v>0.83</v>
      </c>
      <c r="V12" s="577">
        <f>1-WACC!$E5</f>
        <v>0.83</v>
      </c>
      <c r="W12" s="577">
        <f>1-WACC!$E5</f>
        <v>0.83</v>
      </c>
      <c r="X12" s="577">
        <f>1-WACC!$E5</f>
        <v>0.83</v>
      </c>
      <c r="Y12" s="541">
        <f>1-WACC!$E5</f>
        <v>0.83</v>
      </c>
      <c r="AA12" s="39" t="s">
        <v>377</v>
      </c>
      <c r="AK12" s="46">
        <f>AK11*C41</f>
        <v>607812.57057877851</v>
      </c>
    </row>
    <row r="13" spans="2:37" ht="15" customHeight="1" x14ac:dyDescent="0.2">
      <c r="B13" s="382" t="s">
        <v>394</v>
      </c>
      <c r="C13" s="32">
        <f t="shared" ref="C13:L13" si="7">C11-C12</f>
        <v>6568</v>
      </c>
      <c r="D13" s="32">
        <f t="shared" si="7"/>
        <v>6807</v>
      </c>
      <c r="E13" s="32">
        <f t="shared" si="7"/>
        <v>8395</v>
      </c>
      <c r="F13" s="32">
        <f t="shared" si="7"/>
        <v>7926</v>
      </c>
      <c r="G13" s="32">
        <f t="shared" si="7"/>
        <v>7707</v>
      </c>
      <c r="H13" s="32">
        <f t="shared" ca="1" si="7"/>
        <v>6480.4822437781386</v>
      </c>
      <c r="I13" s="32">
        <f t="shared" ca="1" si="7"/>
        <v>8755.5814019689897</v>
      </c>
      <c r="J13" s="32">
        <f t="shared" ca="1" si="7"/>
        <v>16186.353592938809</v>
      </c>
      <c r="K13" s="32">
        <f t="shared" ca="1" si="7"/>
        <v>27007.466662478433</v>
      </c>
      <c r="L13" s="46">
        <f t="shared" ca="1" si="7"/>
        <v>30373.895678349469</v>
      </c>
      <c r="M13" s="32"/>
      <c r="O13" s="382" t="s">
        <v>394</v>
      </c>
      <c r="P13" s="32">
        <f t="shared" ref="P13:Y13" si="8">P11*P12</f>
        <v>6586.0499999999993</v>
      </c>
      <c r="Q13" s="32">
        <f t="shared" si="8"/>
        <v>6983.62</v>
      </c>
      <c r="R13" s="32">
        <f t="shared" si="8"/>
        <v>7084.88</v>
      </c>
      <c r="S13" s="32">
        <f t="shared" si="8"/>
        <v>7816.11</v>
      </c>
      <c r="T13" s="32">
        <f t="shared" si="8"/>
        <v>7636</v>
      </c>
      <c r="U13" s="32">
        <f t="shared" si="8"/>
        <v>17756.797150322789</v>
      </c>
      <c r="V13" s="32">
        <f t="shared" si="8"/>
        <v>25331.72885413079</v>
      </c>
      <c r="W13" s="32">
        <f t="shared" si="8"/>
        <v>32250.016221194594</v>
      </c>
      <c r="X13" s="32">
        <f t="shared" si="8"/>
        <v>37802.546965984897</v>
      </c>
      <c r="Y13" s="46">
        <f t="shared" si="8"/>
        <v>43204.510775308154</v>
      </c>
      <c r="AA13" s="39" t="s">
        <v>395</v>
      </c>
      <c r="AK13" s="589">
        <f>1/(1+C39)^5</f>
        <v>0.76574518421508808</v>
      </c>
    </row>
    <row r="14" spans="2:37" ht="15" customHeight="1" x14ac:dyDescent="0.2">
      <c r="B14" s="395" t="s">
        <v>396</v>
      </c>
      <c r="C14" s="32">
        <f>+Calcs!C15</f>
        <v>1375</v>
      </c>
      <c r="D14" s="32">
        <f>+Calcs!D15</f>
        <v>1331</v>
      </c>
      <c r="E14" s="32">
        <f>+Calcs!E15</f>
        <v>1216</v>
      </c>
      <c r="F14" s="32">
        <f>+Calcs!F15</f>
        <v>1332</v>
      </c>
      <c r="G14" s="32">
        <f>+Calcs!G15</f>
        <v>1292</v>
      </c>
      <c r="H14" s="32">
        <f>+Calcs!H15</f>
        <v>1949.8866234923348</v>
      </c>
      <c r="I14" s="32">
        <f>+Calcs!I15</f>
        <v>2164.35208566032</v>
      </c>
      <c r="J14" s="32">
        <f>+Calcs!J15</f>
        <v>2360.7789588373707</v>
      </c>
      <c r="K14" s="32">
        <f>+Calcs!K15</f>
        <v>2553.5950093510269</v>
      </c>
      <c r="L14" s="46">
        <f>+Calcs!L15</f>
        <v>2766.1452345266525</v>
      </c>
      <c r="M14" s="32"/>
      <c r="O14" s="395" t="s">
        <v>396</v>
      </c>
      <c r="P14" s="32">
        <f>Calcs!C15</f>
        <v>1375</v>
      </c>
      <c r="Q14" s="32">
        <f>Calcs!D15</f>
        <v>1331</v>
      </c>
      <c r="R14" s="32">
        <f>Calcs!E15</f>
        <v>1216</v>
      </c>
      <c r="S14" s="32">
        <f>Calcs!F15</f>
        <v>1332</v>
      </c>
      <c r="T14" s="32">
        <f>Calcs!G15</f>
        <v>1292</v>
      </c>
      <c r="U14" s="32">
        <f>Calcs!H15</f>
        <v>1949.8866234923348</v>
      </c>
      <c r="V14" s="32">
        <f>Calcs!I15</f>
        <v>2164.35208566032</v>
      </c>
      <c r="W14" s="32">
        <f>Calcs!J15</f>
        <v>2360.7789588373707</v>
      </c>
      <c r="X14" s="32">
        <f>Calcs!K15</f>
        <v>2553.5950093510269</v>
      </c>
      <c r="Y14" s="46">
        <f>Calcs!L15</f>
        <v>2766.1452345266525</v>
      </c>
      <c r="AA14" s="39" t="s">
        <v>397</v>
      </c>
      <c r="AK14" s="46">
        <f>AK12*AK13</f>
        <v>465429.54882609297</v>
      </c>
    </row>
    <row r="15" spans="2:37" ht="15" customHeight="1" x14ac:dyDescent="0.2">
      <c r="B15" s="396" t="s">
        <v>398</v>
      </c>
      <c r="C15" s="32">
        <f>-Calcs!C14</f>
        <v>-1154</v>
      </c>
      <c r="D15" s="32">
        <f>-Calcs!D14</f>
        <v>-1295</v>
      </c>
      <c r="E15" s="32">
        <f>-Calcs!E14</f>
        <v>-1573</v>
      </c>
      <c r="F15" s="32">
        <f>-Calcs!F14</f>
        <v>-1406</v>
      </c>
      <c r="G15" s="32">
        <f>-Calcs!G14</f>
        <v>-1212</v>
      </c>
      <c r="H15" s="32">
        <f>-Calcs!H14</f>
        <v>-1972.5859382959907</v>
      </c>
      <c r="I15" s="32">
        <f>-Calcs!I14</f>
        <v>-2169.1844881250981</v>
      </c>
      <c r="J15" s="32">
        <f>-Calcs!J14</f>
        <v>-2261.1893315062075</v>
      </c>
      <c r="K15" s="32">
        <f>-Calcs!K14</f>
        <v>-2277.7025598050564</v>
      </c>
      <c r="L15" s="46">
        <f>-Calcs!L14</f>
        <v>-2459.3759725738914</v>
      </c>
      <c r="M15" s="32"/>
      <c r="O15" s="396" t="s">
        <v>398</v>
      </c>
      <c r="P15" s="32">
        <f>-Calcs!C14</f>
        <v>-1154</v>
      </c>
      <c r="Q15" s="32">
        <f>-Calcs!D14</f>
        <v>-1295</v>
      </c>
      <c r="R15" s="32">
        <f>-Calcs!E14</f>
        <v>-1573</v>
      </c>
      <c r="S15" s="32">
        <f>-Calcs!F14</f>
        <v>-1406</v>
      </c>
      <c r="T15" s="32">
        <f>-Calcs!G14</f>
        <v>-1212</v>
      </c>
      <c r="U15" s="32">
        <f>-Calcs!H14</f>
        <v>-1972.5859382959907</v>
      </c>
      <c r="V15" s="32">
        <f>-Calcs!I14</f>
        <v>-2169.1844881250981</v>
      </c>
      <c r="W15" s="32">
        <f>-Calcs!J14</f>
        <v>-2261.1893315062075</v>
      </c>
      <c r="X15" s="32">
        <f>-Calcs!K14</f>
        <v>-2277.7025598050564</v>
      </c>
      <c r="Y15" s="46">
        <f>-Calcs!L14</f>
        <v>-2459.3759725738914</v>
      </c>
      <c r="AA15" s="395" t="s">
        <v>399</v>
      </c>
      <c r="AK15" s="46">
        <f>-Y32</f>
        <v>-31463</v>
      </c>
    </row>
    <row r="16" spans="2:37" ht="15" customHeight="1" x14ac:dyDescent="0.2">
      <c r="B16" s="395" t="s">
        <v>400</v>
      </c>
      <c r="D16" s="32">
        <f>-Calcs!D37</f>
        <v>5991</v>
      </c>
      <c r="E16" s="32">
        <f>-Calcs!E37</f>
        <v>-5440</v>
      </c>
      <c r="F16" s="32">
        <f>-Calcs!F37</f>
        <v>-1148</v>
      </c>
      <c r="G16" s="32">
        <f>-Calcs!G37</f>
        <v>5016</v>
      </c>
      <c r="H16" s="32">
        <f>-Calcs!H37</f>
        <v>-3553.8780179722817</v>
      </c>
      <c r="I16" s="32">
        <f>-Calcs!I37</f>
        <v>-511.63017084731837</v>
      </c>
      <c r="J16" s="32">
        <f>-Calcs!J37</f>
        <v>-238.86678613541153</v>
      </c>
      <c r="K16" s="32">
        <f>-Calcs!K37</f>
        <v>240.6678210377213</v>
      </c>
      <c r="L16" s="46">
        <f>-Calcs!L37</f>
        <v>-1156.1110074012249</v>
      </c>
      <c r="M16" s="32"/>
      <c r="O16" s="395" t="s">
        <v>400</v>
      </c>
      <c r="Q16" s="32">
        <f>-Calcs!D37</f>
        <v>5991</v>
      </c>
      <c r="R16" s="32">
        <f>-Calcs!E37</f>
        <v>-5440</v>
      </c>
      <c r="S16" s="32">
        <f>-Calcs!F37</f>
        <v>-1148</v>
      </c>
      <c r="T16" s="32">
        <f>-Calcs!G37</f>
        <v>5016</v>
      </c>
      <c r="U16" s="32">
        <f>-Calcs!H37</f>
        <v>-3553.8780179722817</v>
      </c>
      <c r="V16" s="32">
        <f>-Calcs!I37</f>
        <v>-511.63017084731837</v>
      </c>
      <c r="W16" s="32">
        <f>-Calcs!J37</f>
        <v>-238.86678613541153</v>
      </c>
      <c r="X16" s="32">
        <f>-Calcs!K37</f>
        <v>240.6678210377213</v>
      </c>
      <c r="Y16" s="545">
        <f>-Calcs!L37</f>
        <v>-1156.1110074012249</v>
      </c>
      <c r="AA16" s="395" t="s">
        <v>401</v>
      </c>
      <c r="AK16" s="46" t="e">
        <f>Y36</f>
        <v>#REF!</v>
      </c>
    </row>
    <row r="17" spans="2:37" ht="15" customHeight="1" x14ac:dyDescent="0.2">
      <c r="B17" s="400" t="s">
        <v>402</v>
      </c>
      <c r="C17" s="401">
        <f t="shared" ref="C17:E17" si="9">C13+C14+C15-C16</f>
        <v>6789</v>
      </c>
      <c r="D17" s="401">
        <f t="shared" si="9"/>
        <v>852</v>
      </c>
      <c r="E17" s="401">
        <f t="shared" si="9"/>
        <v>13478</v>
      </c>
      <c r="F17" s="401">
        <f t="shared" ref="F17:K17" si="10">F13+F14+F15-F16</f>
        <v>9000</v>
      </c>
      <c r="G17" s="401">
        <f t="shared" si="10"/>
        <v>2771</v>
      </c>
      <c r="H17" s="401">
        <f ca="1">H13+H14+H15-H16</f>
        <v>10011.660946946766</v>
      </c>
      <c r="I17" s="401">
        <f ca="1">I13+I14+I15-I16</f>
        <v>9262.3791703515308</v>
      </c>
      <c r="J17" s="401">
        <f ca="1">J13+J14+J15-J16</f>
        <v>16524.810006405383</v>
      </c>
      <c r="K17" s="401">
        <f t="shared" ca="1" si="10"/>
        <v>27042.691290986681</v>
      </c>
      <c r="L17" s="402">
        <f ca="1">L13+L14+L15-L16</f>
        <v>31836.775947703456</v>
      </c>
      <c r="M17" s="551"/>
      <c r="O17" s="400" t="s">
        <v>402</v>
      </c>
      <c r="P17" s="401">
        <f t="shared" ref="P17:Y17" si="11">P13+P14+P15-P16</f>
        <v>6807.0499999999993</v>
      </c>
      <c r="Q17" s="401">
        <f t="shared" si="11"/>
        <v>1028.619999999999</v>
      </c>
      <c r="R17" s="401">
        <f t="shared" si="11"/>
        <v>12167.880000000001</v>
      </c>
      <c r="S17" s="401">
        <f t="shared" si="11"/>
        <v>8890.11</v>
      </c>
      <c r="T17" s="401">
        <f t="shared" si="11"/>
        <v>2700</v>
      </c>
      <c r="U17" s="401">
        <f t="shared" si="11"/>
        <v>21287.975853491414</v>
      </c>
      <c r="V17" s="401">
        <f t="shared" si="11"/>
        <v>25838.526622513331</v>
      </c>
      <c r="W17" s="401">
        <f t="shared" si="11"/>
        <v>32588.472634661168</v>
      </c>
      <c r="X17" s="401">
        <f t="shared" si="11"/>
        <v>37837.771594493148</v>
      </c>
      <c r="Y17" s="540">
        <f t="shared" si="11"/>
        <v>44667.391044662138</v>
      </c>
      <c r="AA17" s="590" t="s">
        <v>342</v>
      </c>
      <c r="AK17" s="46" t="e">
        <f>SUM(AK14:AK16)</f>
        <v>#REF!</v>
      </c>
    </row>
    <row r="18" spans="2:37" ht="15" customHeight="1" x14ac:dyDescent="0.2">
      <c r="B18" s="336" t="s">
        <v>403</v>
      </c>
      <c r="C18" s="398" t="s">
        <v>404</v>
      </c>
      <c r="H18" s="364"/>
      <c r="L18" s="40"/>
      <c r="O18" s="336" t="s">
        <v>403</v>
      </c>
      <c r="P18" s="398" t="s">
        <v>404</v>
      </c>
      <c r="U18" s="364"/>
      <c r="Y18" s="40"/>
      <c r="AA18" s="39" t="s">
        <v>405</v>
      </c>
      <c r="AK18" s="46">
        <f>Y39</f>
        <v>2635</v>
      </c>
    </row>
    <row r="19" spans="2:37" ht="15" customHeight="1" x14ac:dyDescent="0.2">
      <c r="B19" s="39" t="s">
        <v>377</v>
      </c>
      <c r="H19" s="364"/>
      <c r="L19" s="111">
        <f ca="1">(L17*(1+C40)/((C39-C40)))</f>
        <v>960797.50008596899</v>
      </c>
      <c r="M19" s="110"/>
      <c r="O19" s="39" t="s">
        <v>406</v>
      </c>
      <c r="U19">
        <v>1</v>
      </c>
      <c r="V19">
        <v>2</v>
      </c>
      <c r="W19">
        <v>3</v>
      </c>
      <c r="X19">
        <v>4</v>
      </c>
      <c r="Y19" s="40">
        <v>5</v>
      </c>
      <c r="AA19" s="39" t="s">
        <v>407</v>
      </c>
      <c r="AK19" s="591" t="e">
        <f>AK17/AK18</f>
        <v>#REF!</v>
      </c>
    </row>
    <row r="20" spans="2:37" ht="15" customHeight="1" x14ac:dyDescent="0.2">
      <c r="B20" s="386" t="s">
        <v>408</v>
      </c>
      <c r="L20" s="521">
        <f>WACC!M5</f>
        <v>2.1000000000000001E-2</v>
      </c>
      <c r="M20" s="552"/>
      <c r="O20" s="39"/>
      <c r="U20" s="364"/>
      <c r="Y20" s="397"/>
      <c r="AA20" s="39" t="s">
        <v>409</v>
      </c>
      <c r="AK20" s="40">
        <f>Comps!D4</f>
        <v>271.25</v>
      </c>
    </row>
    <row r="21" spans="2:37" ht="15" customHeight="1" x14ac:dyDescent="0.2">
      <c r="B21" s="386" t="s">
        <v>410</v>
      </c>
      <c r="L21" s="544">
        <f>WACC!D5</f>
        <v>5.4831632825539982E-2</v>
      </c>
      <c r="M21" s="50"/>
      <c r="O21" s="39" t="s">
        <v>408</v>
      </c>
      <c r="Y21" s="522">
        <f>WACC!M5</f>
        <v>2.1000000000000001E-2</v>
      </c>
      <c r="AA21" s="328" t="s">
        <v>411</v>
      </c>
      <c r="AB21" s="33"/>
      <c r="AC21" s="33"/>
      <c r="AD21" s="33"/>
      <c r="AE21" s="33"/>
      <c r="AF21" s="33"/>
      <c r="AG21" s="33"/>
      <c r="AH21" s="33"/>
      <c r="AI21" s="33"/>
      <c r="AJ21" s="33"/>
      <c r="AK21" s="377" t="e">
        <f>(AK19-AK20)/AK20</f>
        <v>#REF!</v>
      </c>
    </row>
    <row r="22" spans="2:37" ht="15" customHeight="1" x14ac:dyDescent="0.2">
      <c r="B22" s="386" t="s">
        <v>412</v>
      </c>
      <c r="H22" s="543">
        <f ca="1">H17</f>
        <v>10011.660946946766</v>
      </c>
      <c r="I22" s="543">
        <f ca="1">I17</f>
        <v>9262.3791703515308</v>
      </c>
      <c r="J22" s="543">
        <f ca="1">J17</f>
        <v>16524.810006405383</v>
      </c>
      <c r="K22" s="543">
        <f ca="1">K17</f>
        <v>27042.691290986681</v>
      </c>
      <c r="L22" s="415">
        <f ca="1">L17</f>
        <v>31836.775947703456</v>
      </c>
      <c r="M22" s="553"/>
      <c r="O22" s="39" t="s">
        <v>410</v>
      </c>
      <c r="Y22" s="522">
        <f>WACC!D5</f>
        <v>5.4831632825539982E-2</v>
      </c>
    </row>
    <row r="23" spans="2:37" ht="15" customHeight="1" thickBot="1" x14ac:dyDescent="0.25">
      <c r="B23" s="39" t="s">
        <v>395</v>
      </c>
      <c r="C23" s="366"/>
      <c r="D23" s="365"/>
      <c r="E23" s="365"/>
      <c r="F23" s="365"/>
      <c r="G23" s="365"/>
      <c r="H23" s="416">
        <f>1/(1+$C$39)^1</f>
        <v>0.94801859261779575</v>
      </c>
      <c r="I23" s="416">
        <f>1/(1+$C$39)^2</f>
        <v>0.89873925194902626</v>
      </c>
      <c r="J23" s="416">
        <f>1/(1+$C$39)^3</f>
        <v>0.85202152076308646</v>
      </c>
      <c r="K23" s="416">
        <f>1/(1+$C$39)^4</f>
        <v>0.80773224299389534</v>
      </c>
      <c r="L23" s="539">
        <f>1/(1+$C$39)^5</f>
        <v>0.76574518421508808</v>
      </c>
      <c r="M23" s="554"/>
      <c r="O23" s="336" t="s">
        <v>377</v>
      </c>
      <c r="Y23" s="538">
        <f>(Y17*(1+Y21))/(Y22-Y21)</f>
        <v>1348010.7948609523</v>
      </c>
    </row>
    <row r="24" spans="2:37" ht="15" customHeight="1" x14ac:dyDescent="0.2">
      <c r="B24" s="408" t="s">
        <v>413</v>
      </c>
      <c r="C24" s="74"/>
      <c r="D24" s="404"/>
      <c r="E24" s="404"/>
      <c r="F24" s="404"/>
      <c r="G24" s="404"/>
      <c r="H24" s="417">
        <f ca="1">H23*H22</f>
        <v>9491.2407206910211</v>
      </c>
      <c r="I24" s="417">
        <f ca="1">I23*I22</f>
        <v>8324.4637268299775</v>
      </c>
      <c r="J24" s="417">
        <f ca="1">J23*J22</f>
        <v>14079.493751978584</v>
      </c>
      <c r="K24" s="417">
        <f ca="1">K23*K22</f>
        <v>21843.253693060149</v>
      </c>
      <c r="L24" s="419">
        <f ca="1">L23*L22</f>
        <v>24378.857862888668</v>
      </c>
      <c r="M24" s="523"/>
      <c r="O24" s="39"/>
      <c r="Y24" s="40"/>
    </row>
    <row r="25" spans="2:37" ht="15" customHeight="1" x14ac:dyDescent="0.2">
      <c r="B25" s="409" t="s">
        <v>397</v>
      </c>
      <c r="C25" s="405"/>
      <c r="D25" s="406"/>
      <c r="E25" s="406"/>
      <c r="F25" s="406"/>
      <c r="G25" s="406"/>
      <c r="H25" s="406"/>
      <c r="I25" s="407"/>
      <c r="J25" s="407"/>
      <c r="K25" s="407"/>
      <c r="L25" s="546">
        <f ca="1">L19*L23</f>
        <v>735726.05869672645</v>
      </c>
      <c r="M25" s="523"/>
      <c r="O25" s="39" t="s">
        <v>414</v>
      </c>
      <c r="U25" s="523">
        <f>1/(1+$C$39)^U19</f>
        <v>0.94801859261779575</v>
      </c>
      <c r="V25" s="523">
        <f t="shared" ref="V25:Y25" si="12">1/(1+$C$39)^V19</f>
        <v>0.89873925194902626</v>
      </c>
      <c r="W25" s="523">
        <f t="shared" si="12"/>
        <v>0.85202152076308646</v>
      </c>
      <c r="X25" s="523">
        <f t="shared" si="12"/>
        <v>0.80773224299389534</v>
      </c>
      <c r="Y25" s="420">
        <f t="shared" si="12"/>
        <v>0.76574518421508808</v>
      </c>
    </row>
    <row r="26" spans="2:37" ht="15" customHeight="1" x14ac:dyDescent="0.2">
      <c r="O26" s="39" t="s">
        <v>415</v>
      </c>
      <c r="U26" s="523">
        <f>U17*U25</f>
        <v>20181.39690830855</v>
      </c>
      <c r="V26" s="523">
        <f t="shared" ref="V26:Y26" si="13">V17*V25</f>
        <v>23222.098088182633</v>
      </c>
      <c r="W26" s="523">
        <f t="shared" si="13"/>
        <v>27766.080013530234</v>
      </c>
      <c r="X26" s="523">
        <f t="shared" si="13"/>
        <v>30562.788119910649</v>
      </c>
      <c r="Y26" s="420">
        <f t="shared" si="13"/>
        <v>34203.839583902183</v>
      </c>
    </row>
    <row r="27" spans="2:37" ht="15" customHeight="1" x14ac:dyDescent="0.2">
      <c r="B27" s="349" t="s">
        <v>416</v>
      </c>
      <c r="C27" s="350"/>
      <c r="E27" s="372"/>
      <c r="F27" s="578"/>
      <c r="G27" s="578" t="s">
        <v>372</v>
      </c>
      <c r="H27" s="578"/>
      <c r="I27" s="578"/>
      <c r="J27" s="578"/>
      <c r="K27" s="594"/>
      <c r="O27" s="39" t="s">
        <v>417</v>
      </c>
      <c r="Y27" s="525">
        <f>Y23*Y25</f>
        <v>1032232.7744347273</v>
      </c>
    </row>
    <row r="28" spans="2:37" ht="15" customHeight="1" x14ac:dyDescent="0.2">
      <c r="B28" s="39" t="s">
        <v>344</v>
      </c>
      <c r="C28" s="376">
        <f ca="1">SUM(H24:L24,L25)</f>
        <v>813843.36845217482</v>
      </c>
      <c r="E28" s="39"/>
      <c r="F28" s="579">
        <f ca="1">C33</f>
        <v>296.91854590215365</v>
      </c>
      <c r="G28" s="30">
        <f>H28-0.15%</f>
        <v>1.7999999999999999E-2</v>
      </c>
      <c r="H28" s="30">
        <f>I28-0.15%</f>
        <v>1.95E-2</v>
      </c>
      <c r="I28" s="30">
        <v>2.1000000000000001E-2</v>
      </c>
      <c r="J28" s="30">
        <f>I28+0.15%</f>
        <v>2.2500000000000003E-2</v>
      </c>
      <c r="K28" s="42">
        <f>J28+0.15%</f>
        <v>2.4000000000000004E-2</v>
      </c>
      <c r="O28" s="39" t="s">
        <v>418</v>
      </c>
      <c r="Y28" s="40"/>
    </row>
    <row r="29" spans="2:37" ht="15" customHeight="1" x14ac:dyDescent="0.2">
      <c r="B29" s="395" t="s">
        <v>419</v>
      </c>
      <c r="C29" s="421">
        <f>-Y32</f>
        <v>-31463</v>
      </c>
      <c r="E29" s="39"/>
      <c r="F29" s="30">
        <f>F30-0.25%</f>
        <v>4.9831632825539977E-2</v>
      </c>
      <c r="G29" s="579">
        <f t="dataTable" ref="G29:K33" dt2D="1" dtr="1" r1="C40" r2="C39" ca="1"/>
        <v>321.20863545402347</v>
      </c>
      <c r="H29" s="579">
        <v>336.66140742201122</v>
      </c>
      <c r="I29" s="579">
        <v>353.72207708294184</v>
      </c>
      <c r="J29" s="579">
        <v>372.65537577081312</v>
      </c>
      <c r="K29" s="376">
        <v>393.78752485452384</v>
      </c>
      <c r="O29" s="39"/>
      <c r="Y29" s="40"/>
    </row>
    <row r="30" spans="2:37" ht="15" customHeight="1" x14ac:dyDescent="0.2">
      <c r="B30" s="395" t="s">
        <v>420</v>
      </c>
      <c r="C30" s="629"/>
      <c r="E30" s="39"/>
      <c r="F30" s="30">
        <f>F31-0.25%</f>
        <v>5.233163282553998E-2</v>
      </c>
      <c r="G30" s="579">
        <v>295.56912239385997</v>
      </c>
      <c r="H30" s="579">
        <v>308.68031742937416</v>
      </c>
      <c r="I30" s="579">
        <v>323.04690778135841</v>
      </c>
      <c r="J30" s="579">
        <v>338.85826554879083</v>
      </c>
      <c r="K30" s="376">
        <v>356.34386756449464</v>
      </c>
      <c r="O30" s="39" t="s">
        <v>421</v>
      </c>
      <c r="Y30" s="43">
        <f>LTMS!L31</f>
        <v>592</v>
      </c>
    </row>
    <row r="31" spans="2:37" ht="15" customHeight="1" x14ac:dyDescent="0.2">
      <c r="B31" s="39" t="s">
        <v>342</v>
      </c>
      <c r="C31" s="376">
        <f ca="1">SUM(C28:C29)</f>
        <v>782380.36845217482</v>
      </c>
      <c r="E31" s="582" t="s">
        <v>10</v>
      </c>
      <c r="F31" s="30">
        <v>5.4831632825539982E-2</v>
      </c>
      <c r="G31" s="579">
        <v>273.42258535086381</v>
      </c>
      <c r="H31" s="579">
        <v>284.67180661074286</v>
      </c>
      <c r="I31" s="600">
        <v>296.91854590215365</v>
      </c>
      <c r="J31" s="579">
        <v>310.30164035609153</v>
      </c>
      <c r="K31" s="376">
        <v>324.98694554888323</v>
      </c>
      <c r="O31" s="39" t="s">
        <v>422</v>
      </c>
      <c r="Y31" s="43">
        <f>LTMS!M31</f>
        <v>30871</v>
      </c>
    </row>
    <row r="32" spans="2:37" ht="15" customHeight="1" x14ac:dyDescent="0.2">
      <c r="B32" s="39" t="s">
        <v>405</v>
      </c>
      <c r="C32" s="421">
        <f>Y39</f>
        <v>2635</v>
      </c>
      <c r="E32" s="39"/>
      <c r="F32" s="30">
        <f>F31+0.25%</f>
        <v>5.7331632825539984E-2</v>
      </c>
      <c r="G32" s="579">
        <v>254.10282119653877</v>
      </c>
      <c r="H32" s="579">
        <v>263.84817827284229</v>
      </c>
      <c r="I32" s="579">
        <v>274.39823552238869</v>
      </c>
      <c r="J32" s="579">
        <v>285.85695450212631</v>
      </c>
      <c r="K32" s="376">
        <v>298.34701080395502</v>
      </c>
      <c r="L32" s="411"/>
      <c r="O32" s="336" t="s">
        <v>301</v>
      </c>
      <c r="Y32" s="526">
        <f>Y30+Y31</f>
        <v>31463</v>
      </c>
    </row>
    <row r="33" spans="2:25" ht="15" customHeight="1" x14ac:dyDescent="0.2">
      <c r="B33" s="39" t="s">
        <v>416</v>
      </c>
      <c r="C33" s="420">
        <f ca="1">C31/C32</f>
        <v>296.91854590215365</v>
      </c>
      <c r="E33" s="328"/>
      <c r="F33" s="378">
        <f>F32+0.25%</f>
        <v>5.9831632825539986E-2</v>
      </c>
      <c r="G33" s="580">
        <v>237.1028869670578</v>
      </c>
      <c r="H33" s="580">
        <v>245.61704266599116</v>
      </c>
      <c r="I33" s="580">
        <v>254.78897310263793</v>
      </c>
      <c r="J33" s="580">
        <v>264.69796723640519</v>
      </c>
      <c r="K33" s="581">
        <v>275.4365909476478</v>
      </c>
      <c r="O33" s="39"/>
      <c r="Y33" s="40"/>
    </row>
    <row r="34" spans="2:25" ht="15" customHeight="1" x14ac:dyDescent="0.2">
      <c r="B34" s="39" t="s">
        <v>409</v>
      </c>
      <c r="C34" s="422">
        <f>Comps!D4</f>
        <v>271.25</v>
      </c>
      <c r="O34" s="39" t="s">
        <v>157</v>
      </c>
      <c r="Y34" s="421" t="e">
        <f>#REF!</f>
        <v>#REF!</v>
      </c>
    </row>
    <row r="35" spans="2:25" ht="15" customHeight="1" x14ac:dyDescent="0.2">
      <c r="B35" s="39" t="s">
        <v>423</v>
      </c>
      <c r="C35" s="42">
        <f ca="1">(C33-C34)/C34</f>
        <v>9.4630583971073379E-2</v>
      </c>
      <c r="O35" s="39" t="s">
        <v>113</v>
      </c>
      <c r="Y35" s="421" t="e">
        <f>#REF!</f>
        <v>#REF!</v>
      </c>
    </row>
    <row r="36" spans="2:25" ht="15" customHeight="1" x14ac:dyDescent="0.2">
      <c r="B36" s="399" t="s">
        <v>424</v>
      </c>
      <c r="C36" s="632" t="str" cm="1">
        <f t="array" aca="1" ref="C36" ca="1">_xlfn.IFS(C35&lt;-5%,"SELL",C35&lt;=5%,"HOLD",C35&gt;5%,"BUY")</f>
        <v>BUY</v>
      </c>
      <c r="L36" s="411"/>
      <c r="O36" s="336" t="s">
        <v>306</v>
      </c>
      <c r="Y36" s="526" t="e">
        <f>Y34+Y35</f>
        <v>#REF!</v>
      </c>
    </row>
    <row r="37" spans="2:25" ht="15" customHeight="1" x14ac:dyDescent="0.2">
      <c r="O37" s="39"/>
      <c r="Y37" s="40"/>
    </row>
    <row r="38" spans="2:25" ht="15" customHeight="1" x14ac:dyDescent="0.2">
      <c r="B38" s="349" t="s">
        <v>425</v>
      </c>
      <c r="C38" s="350"/>
      <c r="O38" s="336" t="s">
        <v>342</v>
      </c>
      <c r="Y38" s="46" t="e">
        <f>Y36-Y32+Y27</f>
        <v>#REF!</v>
      </c>
    </row>
    <row r="39" spans="2:25" ht="15" customHeight="1" x14ac:dyDescent="0.2">
      <c r="B39" s="39" t="s">
        <v>10</v>
      </c>
      <c r="C39" s="51">
        <f>WACC!D5</f>
        <v>5.4831632825539982E-2</v>
      </c>
      <c r="O39" s="39" t="s">
        <v>426</v>
      </c>
      <c r="Y39" s="421">
        <f>Comps!E4</f>
        <v>2635</v>
      </c>
    </row>
    <row r="40" spans="2:25" ht="15" customHeight="1" x14ac:dyDescent="0.2">
      <c r="B40" s="39" t="s">
        <v>372</v>
      </c>
      <c r="C40" s="51">
        <f>WACC!M5</f>
        <v>2.1000000000000001E-2</v>
      </c>
      <c r="O40" s="336" t="s">
        <v>427</v>
      </c>
      <c r="Y40" s="524" t="e">
        <f>Y38/Y39</f>
        <v>#REF!</v>
      </c>
    </row>
    <row r="41" spans="2:25" ht="15" customHeight="1" x14ac:dyDescent="0.2">
      <c r="B41" s="328" t="s">
        <v>392</v>
      </c>
      <c r="C41" s="439">
        <f>Comps!J13</f>
        <v>11.676661175589667</v>
      </c>
      <c r="O41" s="39" t="s">
        <v>428</v>
      </c>
      <c r="W41" s="630"/>
      <c r="Y41" s="38">
        <v>272</v>
      </c>
    </row>
    <row r="42" spans="2:25" ht="15" customHeight="1" x14ac:dyDescent="0.2">
      <c r="O42" s="341" t="s">
        <v>429</v>
      </c>
      <c r="P42" s="33"/>
      <c r="Q42" s="33"/>
      <c r="R42" s="33"/>
      <c r="S42" s="33"/>
      <c r="T42" s="33"/>
      <c r="U42" s="33"/>
      <c r="V42" s="33"/>
      <c r="W42" s="631"/>
      <c r="X42" s="33"/>
      <c r="Y42" s="527" t="e">
        <f>(Y40-Y41)/Y40</f>
        <v>#REF!</v>
      </c>
    </row>
    <row r="43" spans="2:25" ht="15" customHeight="1" x14ac:dyDescent="0.2">
      <c r="W43" s="630"/>
    </row>
    <row r="44" spans="2:25" ht="15" customHeight="1" x14ac:dyDescent="0.2">
      <c r="W44" s="630"/>
    </row>
    <row r="45" spans="2:25" ht="15" customHeight="1" x14ac:dyDescent="0.2">
      <c r="W45" s="630"/>
    </row>
    <row r="46" spans="2:25" ht="15" customHeight="1" x14ac:dyDescent="0.2">
      <c r="O46" s="372"/>
      <c r="P46" s="593"/>
      <c r="Q46" s="578" t="s">
        <v>430</v>
      </c>
      <c r="R46" s="578"/>
      <c r="S46" s="578"/>
      <c r="T46" s="578"/>
      <c r="U46" s="594"/>
      <c r="W46" s="630"/>
    </row>
    <row r="47" spans="2:25" ht="15" customHeight="1" x14ac:dyDescent="0.2">
      <c r="O47" s="39"/>
      <c r="P47" s="595" t="e">
        <f>AK19</f>
        <v>#REF!</v>
      </c>
      <c r="Q47" s="596">
        <f>R47-0.25</f>
        <v>9.7907489994282439</v>
      </c>
      <c r="R47" s="596">
        <f>S47-0.25</f>
        <v>10.040748999428244</v>
      </c>
      <c r="S47" s="596">
        <v>10.290748999428244</v>
      </c>
      <c r="T47" s="596">
        <f>S47+0.25</f>
        <v>10.540748999428244</v>
      </c>
      <c r="U47" s="597">
        <f>T47+0.25</f>
        <v>10.790748999428244</v>
      </c>
    </row>
    <row r="48" spans="2:25" ht="15" customHeight="1" x14ac:dyDescent="0.2">
      <c r="O48" s="39"/>
      <c r="P48" s="30">
        <f>P49-0.25%</f>
        <v>4.9831632825539977E-2</v>
      </c>
      <c r="Q48" s="117" t="e">
        <f t="dataTable" ref="Q48:U52" dt2D="1" dtr="1" r1="C41" r2="C39" ca="1"/>
        <v>#REF!</v>
      </c>
      <c r="R48" s="117" t="e">
        <v>#REF!</v>
      </c>
      <c r="S48" s="117" t="e">
        <v>#REF!</v>
      </c>
      <c r="T48" s="117" t="e">
        <v>#REF!</v>
      </c>
      <c r="U48" s="118" t="e">
        <v>#REF!</v>
      </c>
    </row>
    <row r="49" spans="15:21" ht="15" customHeight="1" x14ac:dyDescent="0.2">
      <c r="O49" s="39"/>
      <c r="P49" s="30">
        <f>P50-0.25%</f>
        <v>5.233163282553998E-2</v>
      </c>
      <c r="Q49" s="117" t="e">
        <v>#REF!</v>
      </c>
      <c r="R49" s="117" t="e">
        <v>#REF!</v>
      </c>
      <c r="S49" s="117" t="e">
        <v>#REF!</v>
      </c>
      <c r="T49" s="117" t="e">
        <v>#REF!</v>
      </c>
      <c r="U49" s="118" t="e">
        <v>#REF!</v>
      </c>
    </row>
    <row r="50" spans="15:21" ht="15" customHeight="1" x14ac:dyDescent="0.2">
      <c r="O50" s="582" t="s">
        <v>10</v>
      </c>
      <c r="P50" s="30">
        <v>5.4831632825539982E-2</v>
      </c>
      <c r="Q50" s="117" t="e">
        <v>#REF!</v>
      </c>
      <c r="R50" s="117" t="e">
        <v>#REF!</v>
      </c>
      <c r="S50" s="592" t="e">
        <v>#REF!</v>
      </c>
      <c r="T50" s="117" t="e">
        <v>#REF!</v>
      </c>
      <c r="U50" s="118" t="e">
        <v>#REF!</v>
      </c>
    </row>
    <row r="51" spans="15:21" ht="15" customHeight="1" x14ac:dyDescent="0.2">
      <c r="O51" s="39"/>
      <c r="P51" s="30">
        <f>P50+0.15%</f>
        <v>5.6331632825539983E-2</v>
      </c>
      <c r="Q51" s="117" t="e">
        <v>#REF!</v>
      </c>
      <c r="R51" s="117" t="e">
        <v>#REF!</v>
      </c>
      <c r="S51" s="117" t="e">
        <v>#REF!</v>
      </c>
      <c r="T51" s="117" t="e">
        <v>#REF!</v>
      </c>
      <c r="U51" s="118" t="e">
        <v>#REF!</v>
      </c>
    </row>
    <row r="52" spans="15:21" ht="15" customHeight="1" x14ac:dyDescent="0.2">
      <c r="O52" s="328"/>
      <c r="P52" s="378">
        <f>P51+0.15%</f>
        <v>5.7831632825539984E-2</v>
      </c>
      <c r="Q52" s="598" t="e">
        <v>#REF!</v>
      </c>
      <c r="R52" s="598" t="e">
        <v>#REF!</v>
      </c>
      <c r="S52" s="598" t="e">
        <v>#REF!</v>
      </c>
      <c r="T52" s="598" t="e">
        <v>#REF!</v>
      </c>
      <c r="U52" s="599" t="e">
        <v>#REF!</v>
      </c>
    </row>
  </sheetData>
  <conditionalFormatting sqref="G29:K33">
    <cfRule type="colorScale" priority="2">
      <colorScale>
        <cfvo type="min"/>
        <cfvo type="percentile" val="50"/>
        <cfvo type="max"/>
        <color rgb="FFF8696B"/>
        <color rgb="FFFFEB84"/>
        <color rgb="FF63BE7B"/>
      </colorScale>
    </cfRule>
  </conditionalFormatting>
  <conditionalFormatting sqref="Q48:U5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C08F-B5DF-473D-90E1-8E3F3A02D994}">
  <dimension ref="B2:F56"/>
  <sheetViews>
    <sheetView showGridLines="0" zoomScale="57" zoomScaleNormal="111" workbookViewId="0"/>
  </sheetViews>
  <sheetFormatPr baseColWidth="10" defaultColWidth="8.5" defaultRowHeight="15" x14ac:dyDescent="0.2"/>
  <cols>
    <col min="1" max="1" width="10.5" customWidth="1"/>
    <col min="2" max="2" width="1.5" customWidth="1"/>
    <col min="3" max="3" width="23.5" customWidth="1"/>
    <col min="4" max="4" width="13.5" customWidth="1"/>
    <col min="5" max="5" width="17.5" bestFit="1" customWidth="1"/>
    <col min="6" max="6" width="0.5" customWidth="1"/>
    <col min="9" max="9" width="8.5" customWidth="1"/>
  </cols>
  <sheetData>
    <row r="2" spans="2:6" ht="27" customHeight="1" x14ac:dyDescent="0.2">
      <c r="B2" s="494" t="s">
        <v>431</v>
      </c>
      <c r="C2" s="495"/>
      <c r="D2" s="496"/>
      <c r="E2" s="496"/>
      <c r="F2" s="497"/>
    </row>
    <row r="3" spans="2:6" x14ac:dyDescent="0.2">
      <c r="B3" s="493"/>
      <c r="C3" s="493"/>
      <c r="D3" s="493"/>
      <c r="E3" s="493"/>
      <c r="F3" s="313"/>
    </row>
    <row r="4" spans="2:6" ht="24" thickBot="1" x14ac:dyDescent="0.25">
      <c r="B4" s="498"/>
      <c r="C4" s="499" t="s">
        <v>432</v>
      </c>
      <c r="D4" s="498"/>
      <c r="E4" s="498"/>
      <c r="F4" s="205"/>
    </row>
    <row r="5" spans="2:6" ht="23" x14ac:dyDescent="0.2">
      <c r="B5" s="500"/>
      <c r="C5" s="501" t="s">
        <v>433</v>
      </c>
      <c r="D5" s="502"/>
      <c r="E5" s="502"/>
      <c r="F5" s="205"/>
    </row>
    <row r="6" spans="2:6" x14ac:dyDescent="0.2">
      <c r="F6" s="313"/>
    </row>
    <row r="7" spans="2:6" ht="16" x14ac:dyDescent="0.2">
      <c r="B7" s="503"/>
      <c r="C7" s="503"/>
      <c r="D7" s="503"/>
      <c r="E7" s="503"/>
      <c r="F7" s="503"/>
    </row>
    <row r="8" spans="2:6" ht="16" x14ac:dyDescent="0.2">
      <c r="B8" s="503"/>
      <c r="C8" s="504" t="s">
        <v>434</v>
      </c>
      <c r="D8" s="504"/>
      <c r="E8" s="505" t="s">
        <v>435</v>
      </c>
      <c r="F8" s="503"/>
    </row>
    <row r="9" spans="2:6" ht="16" x14ac:dyDescent="0.2">
      <c r="B9" s="503"/>
      <c r="C9" s="504"/>
      <c r="D9" s="504"/>
      <c r="E9" s="505"/>
      <c r="F9" s="503"/>
    </row>
    <row r="10" spans="2:6" ht="16" x14ac:dyDescent="0.2">
      <c r="B10" s="503"/>
      <c r="C10" s="504" t="s">
        <v>436</v>
      </c>
      <c r="D10" s="504"/>
      <c r="E10" s="506">
        <f>Comps!D4</f>
        <v>271.25</v>
      </c>
      <c r="F10" s="503"/>
    </row>
    <row r="11" spans="2:6" ht="16" x14ac:dyDescent="0.2">
      <c r="B11" s="503"/>
      <c r="C11" s="504" t="s">
        <v>437</v>
      </c>
      <c r="D11" s="504"/>
      <c r="E11" s="515">
        <f ca="1">DCF!C33</f>
        <v>296.91854590215365</v>
      </c>
      <c r="F11" s="503"/>
    </row>
    <row r="12" spans="2:6" ht="16" x14ac:dyDescent="0.2">
      <c r="B12" s="503"/>
      <c r="C12" s="507" t="s">
        <v>438</v>
      </c>
      <c r="D12" s="507"/>
      <c r="E12" s="520">
        <f ca="1">(E11-E10)/E10</f>
        <v>9.4630583971073379E-2</v>
      </c>
      <c r="F12" s="503"/>
    </row>
    <row r="13" spans="2:6" ht="17" thickBot="1" x14ac:dyDescent="0.25">
      <c r="B13" s="503"/>
      <c r="C13" s="507"/>
      <c r="D13" s="507"/>
      <c r="E13" s="507"/>
      <c r="F13" s="503"/>
    </row>
    <row r="14" spans="2:6" ht="16" x14ac:dyDescent="0.2">
      <c r="B14" s="503"/>
      <c r="C14" s="508"/>
      <c r="D14" s="508"/>
      <c r="E14" s="508"/>
      <c r="F14" s="503"/>
    </row>
    <row r="15" spans="2:6" ht="16" x14ac:dyDescent="0.2">
      <c r="B15" s="503"/>
      <c r="C15" s="504" t="s">
        <v>439</v>
      </c>
      <c r="D15" s="505"/>
      <c r="E15" s="505" t="s">
        <v>440</v>
      </c>
      <c r="F15" s="503"/>
    </row>
    <row r="16" spans="2:6" ht="16" x14ac:dyDescent="0.2">
      <c r="B16" s="503"/>
      <c r="C16" s="503" t="s">
        <v>441</v>
      </c>
      <c r="D16" s="509"/>
      <c r="E16" s="509" t="s">
        <v>442</v>
      </c>
      <c r="F16" s="503"/>
    </row>
    <row r="17" spans="2:6" ht="16" x14ac:dyDescent="0.2">
      <c r="B17" s="503"/>
      <c r="C17" s="503" t="s">
        <v>443</v>
      </c>
      <c r="D17" s="504"/>
      <c r="E17" s="509" t="s">
        <v>444</v>
      </c>
      <c r="F17" s="503"/>
    </row>
    <row r="18" spans="2:6" ht="16" x14ac:dyDescent="0.2">
      <c r="B18" s="503"/>
      <c r="C18" s="504" t="s">
        <v>445</v>
      </c>
      <c r="D18" s="503"/>
      <c r="E18" s="257"/>
      <c r="F18" s="503"/>
    </row>
    <row r="19" spans="2:6" ht="16" x14ac:dyDescent="0.2">
      <c r="B19" s="503"/>
      <c r="C19" s="503" t="s">
        <v>446</v>
      </c>
      <c r="D19" s="503"/>
      <c r="E19" s="509" t="s">
        <v>447</v>
      </c>
      <c r="F19" s="503"/>
    </row>
    <row r="20" spans="2:6" ht="16" x14ac:dyDescent="0.2">
      <c r="B20" s="503"/>
      <c r="C20" s="503" t="s">
        <v>448</v>
      </c>
      <c r="D20" s="503"/>
      <c r="E20" s="509" t="s">
        <v>449</v>
      </c>
      <c r="F20" s="503"/>
    </row>
    <row r="21" spans="2:6" ht="16" x14ac:dyDescent="0.2">
      <c r="B21" s="503"/>
      <c r="C21" s="503" t="s">
        <v>450</v>
      </c>
      <c r="D21" s="503"/>
      <c r="E21" s="509" t="s">
        <v>451</v>
      </c>
      <c r="F21" s="503"/>
    </row>
    <row r="22" spans="2:6" ht="16" x14ac:dyDescent="0.2">
      <c r="B22" s="503"/>
      <c r="C22" s="503" t="s">
        <v>452</v>
      </c>
      <c r="D22" s="503"/>
      <c r="E22" s="509" t="s">
        <v>453</v>
      </c>
      <c r="F22" s="503"/>
    </row>
    <row r="23" spans="2:6" ht="16" x14ac:dyDescent="0.2">
      <c r="B23" s="503"/>
      <c r="C23" s="503" t="s">
        <v>454</v>
      </c>
      <c r="D23" s="503"/>
      <c r="E23" s="509" t="s">
        <v>455</v>
      </c>
      <c r="F23" s="503"/>
    </row>
    <row r="24" spans="2:6" ht="17" thickBot="1" x14ac:dyDescent="0.25">
      <c r="B24" s="503"/>
      <c r="C24" s="503"/>
      <c r="D24" s="503"/>
      <c r="E24" s="503"/>
      <c r="F24" s="503"/>
    </row>
    <row r="25" spans="2:6" ht="16" x14ac:dyDescent="0.2">
      <c r="B25" s="503"/>
      <c r="C25" s="508"/>
      <c r="D25" s="508"/>
      <c r="E25" s="508"/>
      <c r="F25" s="503"/>
    </row>
    <row r="26" spans="2:6" ht="16" x14ac:dyDescent="0.2">
      <c r="B26" s="503"/>
      <c r="C26" s="504" t="s">
        <v>456</v>
      </c>
      <c r="D26" s="505" t="s">
        <v>457</v>
      </c>
      <c r="E26" s="510" t="s">
        <v>458</v>
      </c>
      <c r="F26" s="503"/>
    </row>
    <row r="27" spans="2:6" ht="16" x14ac:dyDescent="0.2">
      <c r="B27" s="503"/>
      <c r="C27" s="503" t="s">
        <v>459</v>
      </c>
      <c r="D27" s="511">
        <v>338.79</v>
      </c>
      <c r="E27" s="515">
        <f ca="1">E11</f>
        <v>296.91854590215365</v>
      </c>
      <c r="F27" s="503"/>
    </row>
    <row r="28" spans="2:6" ht="16" x14ac:dyDescent="0.2">
      <c r="B28" s="503"/>
      <c r="C28" s="503" t="s">
        <v>460</v>
      </c>
      <c r="D28" s="513">
        <v>280000</v>
      </c>
      <c r="E28" s="528">
        <f>'Income Statement'!H38</f>
        <v>308629.2756517274</v>
      </c>
      <c r="F28" s="503"/>
    </row>
    <row r="29" spans="2:6" ht="16" x14ac:dyDescent="0.2">
      <c r="B29" s="503"/>
      <c r="C29" s="503" t="s">
        <v>461</v>
      </c>
      <c r="D29" s="513">
        <v>308400</v>
      </c>
      <c r="E29" s="528">
        <f>'Income Statement'!I38</f>
        <v>342575.0032872493</v>
      </c>
      <c r="F29" s="503"/>
    </row>
    <row r="30" spans="2:6" ht="16" x14ac:dyDescent="0.2">
      <c r="B30" s="503"/>
      <c r="C30" s="503" t="s">
        <v>462</v>
      </c>
      <c r="D30" s="511">
        <v>30.25</v>
      </c>
      <c r="E30" s="512">
        <f>'Income Statement'!H57</f>
        <v>22.18</v>
      </c>
      <c r="F30" s="503"/>
    </row>
    <row r="31" spans="2:6" ht="16" x14ac:dyDescent="0.2">
      <c r="B31" s="503"/>
      <c r="C31" s="503" t="s">
        <v>463</v>
      </c>
      <c r="D31" s="511">
        <v>33.4</v>
      </c>
      <c r="E31" s="512">
        <f>'Income Statement'!I57</f>
        <v>22.18</v>
      </c>
      <c r="F31" s="503"/>
    </row>
    <row r="32" spans="2:6" ht="17" thickBot="1" x14ac:dyDescent="0.25">
      <c r="B32" s="503"/>
      <c r="C32" s="503"/>
      <c r="D32" s="503"/>
      <c r="E32" s="503"/>
      <c r="F32" s="503"/>
    </row>
    <row r="33" spans="2:6" ht="16" x14ac:dyDescent="0.2">
      <c r="B33" s="503"/>
      <c r="C33" s="508"/>
      <c r="D33" s="508"/>
      <c r="E33" s="508"/>
      <c r="F33" s="503"/>
    </row>
    <row r="34" spans="2:6" ht="16" x14ac:dyDescent="0.2">
      <c r="B34" s="503"/>
      <c r="C34" s="504" t="s">
        <v>464</v>
      </c>
      <c r="D34" s="504"/>
      <c r="E34" s="509"/>
      <c r="F34" s="503"/>
    </row>
    <row r="35" spans="2:6" ht="16" x14ac:dyDescent="0.2">
      <c r="B35" s="503"/>
      <c r="C35" s="503" t="s">
        <v>465</v>
      </c>
      <c r="D35" s="509"/>
      <c r="E35" s="514" t="s">
        <v>466</v>
      </c>
      <c r="F35" s="503"/>
    </row>
    <row r="36" spans="2:6" ht="16" x14ac:dyDescent="0.2">
      <c r="B36" s="503"/>
      <c r="C36" s="503" t="s">
        <v>467</v>
      </c>
      <c r="D36" s="503"/>
      <c r="E36" s="513">
        <f>Comps!E4</f>
        <v>2635</v>
      </c>
      <c r="F36" s="503"/>
    </row>
    <row r="37" spans="2:6" ht="16" x14ac:dyDescent="0.2">
      <c r="B37" s="503"/>
      <c r="C37" s="503" t="s">
        <v>468</v>
      </c>
      <c r="D37" s="503"/>
      <c r="E37" s="515">
        <f>Comps!F4</f>
        <v>714743.75</v>
      </c>
      <c r="F37" s="503"/>
    </row>
    <row r="38" spans="2:6" ht="16" x14ac:dyDescent="0.2">
      <c r="B38" s="503"/>
      <c r="C38" s="503" t="s">
        <v>469</v>
      </c>
      <c r="D38" s="503"/>
      <c r="E38" s="516">
        <f>Comps!K4</f>
        <v>94.914631795399046</v>
      </c>
      <c r="F38" s="503"/>
    </row>
    <row r="39" spans="2:6" ht="16" x14ac:dyDescent="0.2">
      <c r="B39" s="503"/>
      <c r="C39" s="503" t="s">
        <v>349</v>
      </c>
      <c r="D39" s="503"/>
      <c r="E39" s="516">
        <v>12.3</v>
      </c>
      <c r="F39" s="503"/>
    </row>
    <row r="40" spans="2:6" ht="16" x14ac:dyDescent="0.2">
      <c r="B40" s="503"/>
      <c r="C40" s="503" t="s">
        <v>470</v>
      </c>
      <c r="D40" s="503"/>
      <c r="E40" s="516">
        <v>0.43</v>
      </c>
      <c r="F40" s="503"/>
    </row>
    <row r="41" spans="2:6" ht="16" x14ac:dyDescent="0.2">
      <c r="B41" s="503"/>
      <c r="C41" s="503" t="s">
        <v>471</v>
      </c>
      <c r="D41" s="503"/>
      <c r="E41" s="509">
        <v>2025</v>
      </c>
      <c r="F41" s="503"/>
    </row>
    <row r="42" spans="2:6" ht="17" thickBot="1" x14ac:dyDescent="0.25">
      <c r="B42" s="503"/>
      <c r="C42" s="503"/>
      <c r="D42" s="503"/>
      <c r="E42" s="503"/>
      <c r="F42" s="503"/>
    </row>
    <row r="43" spans="2:6" ht="16" x14ac:dyDescent="0.2">
      <c r="B43" s="503"/>
      <c r="C43" s="508"/>
      <c r="D43" s="508"/>
      <c r="E43" s="508"/>
      <c r="F43" s="503"/>
    </row>
    <row r="44" spans="2:6" ht="16" x14ac:dyDescent="0.2">
      <c r="B44" s="503"/>
      <c r="C44" s="504" t="s">
        <v>472</v>
      </c>
      <c r="D44" s="503"/>
      <c r="E44" s="503"/>
      <c r="F44" s="503"/>
    </row>
    <row r="45" spans="2:6" ht="16" x14ac:dyDescent="0.2">
      <c r="B45" s="503"/>
      <c r="C45" s="504"/>
      <c r="D45" s="504"/>
      <c r="E45" s="503"/>
      <c r="F45" s="503"/>
    </row>
    <row r="46" spans="2:6" ht="16" x14ac:dyDescent="0.2">
      <c r="B46" s="503"/>
      <c r="C46" s="503"/>
      <c r="D46" s="503"/>
      <c r="E46" s="503"/>
      <c r="F46" s="503"/>
    </row>
    <row r="47" spans="2:6" ht="16" x14ac:dyDescent="0.2">
      <c r="B47" s="503"/>
      <c r="C47" s="503"/>
      <c r="D47" s="503"/>
      <c r="E47" s="503"/>
      <c r="F47" s="503"/>
    </row>
    <row r="48" spans="2:6" ht="16" x14ac:dyDescent="0.2">
      <c r="B48" s="503"/>
      <c r="C48" s="503"/>
      <c r="D48" s="503"/>
      <c r="E48" s="503"/>
      <c r="F48" s="503"/>
    </row>
    <row r="49" spans="2:6" ht="16" x14ac:dyDescent="0.2">
      <c r="B49" s="503"/>
      <c r="C49" s="503"/>
      <c r="D49" s="503"/>
      <c r="E49" s="503"/>
      <c r="F49" s="503"/>
    </row>
    <row r="50" spans="2:6" ht="16" x14ac:dyDescent="0.2">
      <c r="B50" s="503"/>
      <c r="C50" s="503"/>
      <c r="D50" s="503"/>
      <c r="E50" s="503"/>
      <c r="F50" s="503"/>
    </row>
    <row r="51" spans="2:6" ht="16" x14ac:dyDescent="0.2">
      <c r="B51" s="503"/>
      <c r="C51" s="517" t="s">
        <v>473</v>
      </c>
      <c r="D51" s="517"/>
      <c r="E51" s="503"/>
      <c r="F51" s="503"/>
    </row>
    <row r="52" spans="2:6" ht="16" x14ac:dyDescent="0.2">
      <c r="B52" s="518"/>
      <c r="C52" s="518"/>
      <c r="D52" s="518"/>
      <c r="E52" s="518"/>
      <c r="F52" s="518"/>
    </row>
    <row r="53" spans="2:6" ht="20" customHeight="1" x14ac:dyDescent="0.2"/>
    <row r="54" spans="2:6" ht="16" x14ac:dyDescent="0.2">
      <c r="B54" s="518"/>
      <c r="C54" s="412"/>
      <c r="D54" s="519"/>
      <c r="E54" s="518"/>
      <c r="F54" s="518"/>
    </row>
    <row r="55" spans="2:6" ht="16" x14ac:dyDescent="0.2">
      <c r="B55" s="518"/>
      <c r="C55" s="519"/>
      <c r="D55" s="519"/>
      <c r="E55" s="518"/>
      <c r="F55" s="518"/>
    </row>
    <row r="56" spans="2:6" ht="16" x14ac:dyDescent="0.2">
      <c r="B56" s="518"/>
      <c r="C56" s="412"/>
      <c r="D56" s="518"/>
      <c r="E56" s="518"/>
      <c r="F56" s="51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6D8CCC49D09748804344C0B6D1E747" ma:contentTypeVersion="5" ma:contentTypeDescription="Create a new document." ma:contentTypeScope="" ma:versionID="95302fc64a412d2ee08e11c2128990b3">
  <xsd:schema xmlns:xsd="http://www.w3.org/2001/XMLSchema" xmlns:xs="http://www.w3.org/2001/XMLSchema" xmlns:p="http://schemas.microsoft.com/office/2006/metadata/properties" xmlns:ns3="6fd9bf16-ad7e-496d-ad9d-728bccf60871" targetNamespace="http://schemas.microsoft.com/office/2006/metadata/properties" ma:root="true" ma:fieldsID="8398591824ae9501a09a0d32b2e9590f" ns3:_="">
    <xsd:import namespace="6fd9bf16-ad7e-496d-ad9d-728bccf6087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d9bf16-ad7e-496d-ad9d-728bccf6087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fd9bf16-ad7e-496d-ad9d-728bccf60871" xsi:nil="true"/>
  </documentManagement>
</p:properties>
</file>

<file path=customXml/itemProps1.xml><?xml version="1.0" encoding="utf-8"?>
<ds:datastoreItem xmlns:ds="http://schemas.openxmlformats.org/officeDocument/2006/customXml" ds:itemID="{F2F48126-29EA-49D2-995C-CFA20E149C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d9bf16-ad7e-496d-ad9d-728bccf608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1CB43F-B1D0-4B02-B0EF-777A364A4ADB}">
  <ds:schemaRefs>
    <ds:schemaRef ds:uri="http://schemas.microsoft.com/sharepoint/v3/contenttype/forms"/>
  </ds:schemaRefs>
</ds:datastoreItem>
</file>

<file path=customXml/itemProps3.xml><?xml version="1.0" encoding="utf-8"?>
<ds:datastoreItem xmlns:ds="http://schemas.openxmlformats.org/officeDocument/2006/customXml" ds:itemID="{15FCD76E-6F41-4663-A27B-64879AA79FB8}">
  <ds:schemaRefs>
    <ds:schemaRef ds:uri="http://purl.org/dc/elements/1.1/"/>
    <ds:schemaRef ds:uri="http://schemas.microsoft.com/office/2006/documentManagement/types"/>
    <ds:schemaRef ds:uri="6fd9bf16-ad7e-496d-ad9d-728bccf60871"/>
    <ds:schemaRef ds:uri="http://schemas.microsoft.com/office/2006/metadata/properties"/>
    <ds:schemaRef ds:uri="http://purl.org/dc/terms/"/>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Cover</vt:lpstr>
      <vt:lpstr>Assumptions</vt:lpstr>
      <vt:lpstr>Income Statement</vt:lpstr>
      <vt:lpstr>Balance Sheet</vt:lpstr>
      <vt:lpstr>Cash Flow Statement</vt:lpstr>
      <vt:lpstr>Calcs</vt:lpstr>
      <vt:lpstr>Debt Schedule</vt:lpstr>
      <vt:lpstr>LTMS</vt:lpstr>
      <vt:lpstr>Comps</vt:lpstr>
      <vt:lpstr>WACC</vt:lpstr>
      <vt:lpstr>DCF</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Dicarlo</dc:creator>
  <cp:keywords/>
  <dc:description/>
  <cp:lastModifiedBy>Karishma Shah</cp:lastModifiedBy>
  <cp:revision/>
  <cp:lastPrinted>2026-04-24T03:54:58Z</cp:lastPrinted>
  <dcterms:created xsi:type="dcterms:W3CDTF">2026-04-04T15:51:14Z</dcterms:created>
  <dcterms:modified xsi:type="dcterms:W3CDTF">2026-09-26T23:18:19Z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0x010100416D8CCC49D09748804344C0B6D1E747</vt:lpwstr>
  </property>
</Properties>
</file>